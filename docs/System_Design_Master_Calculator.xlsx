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Master_Inputs" sheetId="2" state="visible" r:id="rId4"/>
    <sheet name="02_User_Metrics" sheetId="3" state="visible" r:id="rId5"/>
    <sheet name="03_Frontend_CDN" sheetId="4" state="visible" r:id="rId6"/>
    <sheet name="04_API_Gateway" sheetId="5" state="visible" r:id="rId7"/>
    <sheet name="05_Load_Balancer" sheetId="6" state="visible" r:id="rId8"/>
    <sheet name="06_Backend_Services" sheetId="7" state="visible" r:id="rId9"/>
    <sheet name="07_Network_Latency" sheetId="8" state="visible" r:id="rId10"/>
    <sheet name="08_Kafka_Design" sheetId="9" state="visible" r:id="rId11"/>
    <sheet name="09_Database_Design" sheetId="10" state="visible" r:id="rId12"/>
    <sheet name="10_Cache_Redis" sheetId="11" state="visible" r:id="rId13"/>
    <sheet name="11_DLQ_Error_Handling" sheetId="12" state="visible" r:id="rId14"/>
    <sheet name="12_Traffic_Spikes_DDoS" sheetId="13" state="visible" r:id="rId15"/>
    <sheet name="13_Observability" sheetId="14" state="visible" r:id="rId16"/>
    <sheet name="14_Cloud_Provider_Mapping" sheetId="15" state="visible" r:id="rId17"/>
    <sheet name="15_Cloud_Infra_Picker" sheetId="16" state="visible" r:id="rId18"/>
    <sheet name="16_Cost_Estimator" sheetId="17" state="visible" r:id="rId19"/>
    <sheet name="17_Final_Summary_Cheatsheet" sheetId="18" state="visible" r:id="rId20"/>
    <sheet name="18_Interview_Practice" sheetId="19" state="visible" r:id="rId21"/>
    <sheet name="Scenarios" sheetId="20" state="hidden" r:id="rId22"/>
  </sheets>
  <definedNames>
    <definedName function="false" hidden="false" name="ACTIONS_PER_SESSION" vbProcedure="false">01_Master_Inputs!$B$8</definedName>
    <definedName function="false" hidden="false" name="Actual_DB_QPS" vbProcedure="false">09_Database_Design!$C$10</definedName>
    <definedName function="false" hidden="false" name="Auto_Scale_Cooldown_sec" vbProcedure="false">01_Master_Inputs!$B$93</definedName>
    <definedName function="false" hidden="false" name="Auto_Scale_Trigger_CPU" vbProcedure="false">01_Master_Inputs!$B$92</definedName>
    <definedName function="false" hidden="false" name="AVG_MSG_SIZE_KB" vbProcedure="false">01_Master_Inputs!$B$20</definedName>
    <definedName function="false" hidden="false" name="AVG_REQUEST_SIZE_KB" vbProcedure="false">01_Master_Inputs!$B$17</definedName>
    <definedName function="false" hidden="false" name="AVG_RESPONSE_SIZE_KB" vbProcedure="false">01_Master_Inputs!$B$16</definedName>
    <definedName function="false" hidden="false" name="BROKER_CAPACITY_MBPS" vbProcedure="false">01_Master_Inputs!$B$24</definedName>
    <definedName function="false" hidden="false" name="BROKER_MULTIPLE" vbProcedure="false">01_Master_Inputs!$B$26</definedName>
    <definedName function="false" hidden="false" name="CACHE_HIT_PCT" vbProcedure="false">01_Master_Inputs!$B$14</definedName>
    <definedName function="false" hidden="false" name="CACHE_OVERHEAD_FACTOR" vbProcedure="false">01_Master_Inputs!$B$44</definedName>
    <definedName function="false" hidden="false" name="CATALOG_ENTRY_KB" vbProcedure="false">01_Master_Inputs!$B$41</definedName>
    <definedName function="false" hidden="false" name="CATALOG_SKUS" vbProcedure="false">01_Master_Inputs!$B$40</definedName>
    <definedName function="false" hidden="false" name="CDN_Cache_Hit_Ratio_Pct" vbProcedure="false">03_Frontend_CDN!$B$5</definedName>
    <definedName function="false" hidden="false" name="CDN_Edge_ms" vbProcedure="false">01_Master_Inputs!$B$73</definedName>
    <definedName function="false" hidden="false" name="CDN_Origin_Miss_ms" vbProcedure="false">01_Master_Inputs!$B$74</definedName>
    <definedName function="false" hidden="false" name="CDN_PoPs_Global" vbProcedure="false">03_Frontend_CDN!$B$7</definedName>
    <definedName function="false" hidden="false" name="Compression_Reduction_Pct" vbProcedure="false">03_Frontend_CDN!$B$8</definedName>
    <definedName function="false" hidden="false" name="CONSUMER_PER_PARTITION_MBPS" vbProcedure="false">01_Master_Inputs!$B$23</definedName>
    <definedName function="false" hidden="false" name="Cores_Per_App_Instance" vbProcedure="false">01_Master_Inputs!$B$50</definedName>
    <definedName function="false" hidden="false" name="Cost_App_hr" vbProcedure="false">01_Master_Inputs!$B$104</definedName>
    <definedName function="false" hidden="false" name="Cost_Broker_hr" vbProcedure="false">01_Master_Inputs!$B$103</definedName>
    <definedName function="false" hidden="false" name="Cost_CDN_Per_GB" vbProcedure="false">01_Master_Inputs!$B$112</definedName>
    <definedName function="false" hidden="false" name="Cost_DB_hr" vbProcedure="false">01_Master_Inputs!$B$105</definedName>
    <definedName function="false" hidden="false" name="Cost_Egress_Per_GB" vbProcedure="false">01_Master_Inputs!$B$110</definedName>
    <definedName function="false" hidden="false" name="Cost_Gateway_hr" vbProcedure="false">01_Master_Inputs!$B$107</definedName>
    <definedName function="false" hidden="false" name="Cost_Hours_Month" vbProcedure="false">01_Master_Inputs!$B$109</definedName>
    <definedName function="false" hidden="false" name="Cost_NLB_hr" vbProcedure="false">01_Master_Inputs!$B$108</definedName>
    <definedName function="false" hidden="false" name="Cost_Redis_hr" vbProcedure="false">01_Master_Inputs!$B$106</definedName>
    <definedName function="false" hidden="false" name="Cost_S3_Per_TB" vbProcedure="false">01_Master_Inputs!$B$111</definedName>
    <definedName function="false" hidden="false" name="Daily_Egress_GB" vbProcedure="false">02_User_Metrics!$C$12</definedName>
    <definedName function="false" hidden="false" name="Daily_Requests" vbProcedure="false">02_User_Metrics!$C$8</definedName>
    <definedName function="false" hidden="false" name="DAU" vbProcedure="false">02_User_Metrics!$C$4</definedName>
    <definedName function="false" hidden="false" name="DAU_PCT" vbProcedure="false">01_Master_Inputs!$B$6</definedName>
    <definedName function="false" hidden="false" name="DB_CONN_MULTIPLIER" vbProcedure="false">01_Master_Inputs!$B$32</definedName>
    <definedName function="false" hidden="false" name="DB_CONN_OVERHEAD" vbProcedure="false">01_Master_Inputs!$B$33</definedName>
    <definedName function="false" hidden="false" name="DB_HOT_RETENTION_DAYS" vbProcedure="false">01_Master_Inputs!$B$31</definedName>
    <definedName function="false" hidden="false" name="DB_IOPS_PER_QUERY" vbProcedure="false">01_Master_Inputs!$B$36</definedName>
    <definedName function="false" hidden="false" name="DB_Query_ms" vbProcedure="false">01_Master_Inputs!$B$77</definedName>
    <definedName function="false" hidden="false" name="DB_Read_Replicas" vbProcedure="false">09_Database_Design!$C$40</definedName>
    <definedName function="false" hidden="false" name="DB_READ_REPLICA_QPS" vbProcedure="false">01_Master_Inputs!$B$34</definedName>
    <definedName function="false" hidden="false" name="DB_Recommended_IOPS" vbProcedure="false">09_Database_Design!$C$15</definedName>
    <definedName function="false" hidden="false" name="DB_ROW_SIZE_KB" vbProcedure="false">01_Master_Inputs!$B$30</definedName>
    <definedName function="false" hidden="false" name="DB_SSD_IOPS_PER_GB" vbProcedure="false">01_Master_Inputs!$B$35</definedName>
    <definedName function="false" hidden="false" name="DB_Storage_GB" vbProcedure="false">09_Database_Design!$C$33</definedName>
    <definedName function="false" hidden="false" name="DDoS_Peak_RPS" vbProcedure="false">01_Master_Inputs!$B$91</definedName>
    <definedName function="false" hidden="false" name="DLQ_Msgs_Per_Day" vbProcedure="false">11_DLQ_Error_Handling!$C$11</definedName>
    <definedName function="false" hidden="false" name="DLQ_Retention_Days" vbProcedure="false">01_Master_Inputs!$B$85</definedName>
    <definedName function="false" hidden="false" name="DNS_Lookup_ms" vbProcedure="false">01_Master_Inputs!$B$72</definedName>
    <definedName function="false" hidden="false" name="Edge_Node_Capacity_RPS" vbProcedure="false">03_Frontend_CDN!$B$6</definedName>
    <definedName function="false" hidden="false" name="Gateway_AZs" vbProcedure="false">04_API_Gateway!$C$7</definedName>
    <definedName function="false" hidden="false" name="Gateway_CPU_Util_Target" vbProcedure="false">01_Master_Inputs!$B$62</definedName>
    <definedName function="false" hidden="false" name="Gateway_Effective_RPS" vbProcedure="false">04_API_Gateway!$C$5</definedName>
    <definedName function="false" hidden="false" name="Gateway_Instances" vbProcedure="false">01_Master_Inputs!$B$57</definedName>
    <definedName function="false" hidden="false" name="Gateway_Instances_Sized" vbProcedure="false">04_API_Gateway!$C$9</definedName>
    <definedName function="false" hidden="false" name="Gateway_Latency_ms" vbProcedure="false">04_API_Gateway!$C$10</definedName>
    <definedName function="false" hidden="false" name="Gateway_Overhead_ms" vbProcedure="false">01_Master_Inputs!$B$63</definedName>
    <definedName function="false" hidden="false" name="Gateway_RPS_Capacity" vbProcedure="false">01_Master_Inputs!$B$61</definedName>
    <definedName function="false" hidden="false" name="HOT_SKU_COUNT" vbProcedure="false">01_Master_Inputs!$B$42</definedName>
    <definedName function="false" hidden="false" name="HOT_SKU_ENTRY_KB" vbProcedure="false">01_Master_Inputs!$B$43</definedName>
    <definedName function="false" hidden="false" name="Inventory_Svc_Instances" vbProcedure="false">01_Master_Inputs!$B$54</definedName>
    <definedName function="false" hidden="false" name="Kafka_Brokers" vbProcedure="false">08_Kafka_Design!$C$17</definedName>
    <definedName function="false" hidden="false" name="Kafka_Internal_MBps" vbProcedure="false">08_Kafka_Design!$C$6</definedName>
    <definedName function="false" hidden="false" name="Kafka_MBps" vbProcedure="false">08_Kafka_Design!$C$5</definedName>
    <definedName function="false" hidden="false" name="Kafka_Partitions" vbProcedure="false">08_Kafka_Design!$C$16</definedName>
    <definedName function="false" hidden="false" name="LB_Forward_ms" vbProcedure="false">01_Master_Inputs!$B$75</definedName>
    <definedName function="false" hidden="false" name="LB_Instances" vbProcedure="false">05_Load_Balancer!$C$5</definedName>
    <definedName function="false" hidden="false" name="Load_Shed_Threshold_Pct" vbProcedure="false">01_Master_Inputs!$B$94</definedName>
    <definedName function="false" hidden="false" name="Log_Retention_Days" vbProcedure="false">01_Master_Inputs!$B$98</definedName>
    <definedName function="false" hidden="false" name="Log_Size_Per_Request_KB" vbProcedure="false">01_Master_Inputs!$B$100</definedName>
    <definedName function="false" hidden="false" name="MAU" vbProcedure="false">01_Master_Inputs!$B$5</definedName>
    <definedName function="false" hidden="false" name="Max_Retries" vbProcedure="false">01_Master_Inputs!$B$82</definedName>
    <definedName function="false" hidden="false" name="Metrics_Retention_Days" vbProcedure="false">01_Master_Inputs!$B$97</definedName>
    <definedName function="false" hidden="false" name="MIN_BROKERS_HA" vbProcedure="false">01_Master_Inputs!$B$25</definedName>
    <definedName function="false" hidden="false" name="Monthly_Egress_TB" vbProcedure="false">02_User_Metrics!$C$13</definedName>
    <definedName function="false" hidden="false" name="Monthly_Requests" vbProcedure="false">02_User_Metrics!$C$9</definedName>
    <definedName function="false" hidden="false" name="Notification_Svc_Instances" vbProcedure="false">01_Master_Inputs!$B$55</definedName>
    <definedName function="false" hidden="false" name="Order_Svc_Instances" vbProcedure="false">01_Master_Inputs!$B$52</definedName>
    <definedName function="false" hidden="false" name="Origin_Dynamic_RPS" vbProcedure="false">03_Frontend_CDN!$C$18</definedName>
    <definedName function="false" hidden="false" name="P95_Latency_ms" vbProcedure="false">07_Network_Latency!$C$21</definedName>
    <definedName function="false" hidden="false" name="Payment_Svc_Instances" vbProcedure="false">01_Master_Inputs!$B$53</definedName>
    <definedName function="false" hidden="false" name="PCU" vbProcedure="false">02_User_Metrics!$C$5</definedName>
    <definedName function="false" hidden="false" name="Peak_Bandwidth_MBps" vbProcedure="false">02_User_Metrics!$C$10</definedName>
    <definedName function="false" hidden="false" name="PEAK_CONCURRENT_PCT" vbProcedure="false">01_Master_Inputs!$B$7</definedName>
    <definedName function="false" hidden="false" name="PEAK_DURATION_SEC" vbProcedure="false">01_Master_Inputs!$B$9</definedName>
    <definedName function="false" hidden="false" name="Peak_RPS" vbProcedure="false">02_User_Metrics!$C$7</definedName>
    <definedName function="false" hidden="false" name="PRODUCER_PER_PARTITION_MBPS" vbProcedure="false">01_Master_Inputs!$B$22</definedName>
    <definedName function="false" hidden="false" name="QUERIES_PER_API_CALL" vbProcedure="false">01_Master_Inputs!$B$15</definedName>
    <definedName function="false" hidden="false" name="RAM_Per_App_Instance_GB" vbProcedure="false">01_Master_Inputs!$B$51</definedName>
    <definedName function="false" hidden="false" name="Rate_Limit_Anonymous_RPM" vbProcedure="false">01_Master_Inputs!$B$67</definedName>
    <definedName function="false" hidden="false" name="Rate_Limit_Premium_RPM" vbProcedure="false">01_Master_Inputs!$B$69</definedName>
    <definedName function="false" hidden="false" name="Rate_Limit_User_RPM" vbProcedure="false">01_Master_Inputs!$B$68</definedName>
    <definedName function="false" hidden="false" name="Raw_RPS" vbProcedure="false">02_User_Metrics!$C$6</definedName>
    <definedName function="false" hidden="false" name="READ_WRITE_SPLIT_READ_PCT" vbProcedure="false">01_Master_Inputs!$B$13</definedName>
    <definedName function="false" hidden="false" name="Redis_Cluster_GB" vbProcedure="false">10_Cache_Redis!$C$11</definedName>
    <definedName function="false" hidden="false" name="REDIS_HEADROOM" vbProcedure="false">01_Master_Inputs!$B$46</definedName>
    <definedName function="false" hidden="false" name="Redis_Nodes" vbProcedure="false">10_Cache_Redis!$C$17</definedName>
    <definedName function="false" hidden="false" name="REDIS_OPS_PER_NODE" vbProcedure="false">01_Master_Inputs!$B$47</definedName>
    <definedName function="false" hidden="false" name="Redis_Query_ms" vbProcedure="false">01_Master_Inputs!$B$78</definedName>
    <definedName function="false" hidden="false" name="REDIS_SHARDS" vbProcedure="false">01_Master_Inputs!$B$45</definedName>
    <definedName function="false" hidden="false" name="REPLICATION_FACTOR" vbProcedure="false">01_Master_Inputs!$B$21</definedName>
    <definedName function="false" hidden="false" name="Reprocess_Batch_Size" vbProcedure="false">01_Master_Inputs!$B$86</definedName>
    <definedName function="false" hidden="false" name="Reprocess_Interval_min" vbProcedure="false">01_Master_Inputs!$B$87</definedName>
    <definedName function="false" hidden="false" name="Retry_Backoff_Base_sec" vbProcedure="false">01_Master_Inputs!$B$83</definedName>
    <definedName function="false" hidden="false" name="Retry_Backoff_Multiplier" vbProcedure="false">01_Master_Inputs!$B$84</definedName>
    <definedName function="false" hidden="false" name="RPS_Per_App_Instance" vbProcedure="false">01_Master_Inputs!$B$58</definedName>
    <definedName function="false" hidden="false" name="SAFETY_BUFFER" vbProcedure="false">01_Master_Inputs!$B$10</definedName>
    <definedName function="false" hidden="false" name="Scenario_Cell" vbProcedure="false">01_Master_Inputs!$B$2</definedName>
    <definedName function="false" hidden="false" name="Search_Svc_Instances" vbProcedure="false">01_Master_Inputs!$B$56</definedName>
    <definedName function="false" hidden="false" name="Service_Process_ms" vbProcedure="false">01_Master_Inputs!$B$76</definedName>
    <definedName function="false" hidden="false" name="Service_Worker_Hit_Pct" vbProcedure="false">03_Frontend_CDN!$B$9</definedName>
    <definedName function="false" hidden="false" name="SESSION_SIZE_KB" vbProcedure="false">01_Master_Inputs!$B$39</definedName>
    <definedName function="false" hidden="false" name="SLA_P95_ms" vbProcedure="false">01_Master_Inputs!$B$79</definedName>
    <definedName function="false" hidden="false" name="Spike_Multiplier" vbProcedure="false">01_Master_Inputs!$B$90</definedName>
    <definedName function="false" hidden="false" name="SSL_Handshake_ms" vbProcedure="false">01_Master_Inputs!$B$64</definedName>
    <definedName function="false" hidden="false" name="SSL_Rate_Pct" vbProcedure="false">01_Master_Inputs!$B$65</definedName>
    <definedName function="false" hidden="false" name="Static_Asset_MB_Per_User" vbProcedure="false">03_Frontend_CDN!$B$4</definedName>
    <definedName function="false" hidden="false" name="TOPIC_RETENTION_DAYS" vbProcedure="false">01_Master_Inputs!$B$27</definedName>
    <definedName function="false" hidden="false" name="Total_Annual_Cost" vbProcedure="false">16_Cost_Estimator!$F$20</definedName>
    <definedName function="false" hidden="false" name="Total_App_Instances" vbProcedure="false">06_Backend_Services!$B$10</definedName>
    <definedName function="false" hidden="false" name="Total_Monthly_Cost" vbProcedure="false">16_Cost_Estimator!$E$20</definedName>
    <definedName function="false" hidden="false" name="Total_RAM_GB" vbProcedure="false">06_Backend_Services!$D$10</definedName>
    <definedName function="false" hidden="false" name="Total_RPS_Capacity" vbProcedure="false">06_Backend_Services!$F$10</definedName>
    <definedName function="false" hidden="false" name="Total_vCPU" vbProcedure="false">06_Backend_Services!$C$10</definedName>
    <definedName function="false" hidden="false" name="Trace_Sample_Rate_Pct" vbProcedure="false">01_Master_Inputs!$B$99</definedName>
    <definedName function="false" hidden="false" name="WAF_Rules" vbProcedure="false">01_Master_Inputs!$B$66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<sst xmlns="http://schemas.openxmlformats.org/spreadsheetml/2006/main" count="1341" uniqueCount="1096">
  <si>
    <t xml:space="preserve">System Design Master Calculator — How To Use This Workbook</t>
  </si>
  <si>
    <t xml:space="preserve">PURPOSE</t>
  </si>
  <si>
    <t xml:space="preserve">One formula-driven model of an Amazon/Flipkart-scale e-commerce platform, front door to backend to cost. Change the inputs on 01_Master_Inputs and every sheet recalculates: user metrics -&gt; CDN -&gt; gateway -&gt; load balancer -&gt; backend services -&gt; network latency -&gt; Kafka -&gt; Postgres -&gt; Redis -&gt; DLQ -&gt; traffic spikes -&gt; observability -&gt; cloud mapping -&gt; cost.</t>
  </si>
  <si>
    <t xml:space="preserve">COLOR LEGEND</t>
  </si>
  <si>
    <t xml:space="preserve">Yellow</t>
  </si>
  <si>
    <t xml:space="preserve">Input — the only cells you should type over. All live on 01_Master_Inputs (plus the scenario cell).</t>
  </si>
  <si>
    <t xml:space="preserve">Blue</t>
  </si>
  <si>
    <t xml:space="preserve">Intermediate calculation — derived, feeds another formula downstream.</t>
  </si>
  <si>
    <t xml:space="preserve">Green</t>
  </si>
  <si>
    <t xml:space="preserve">Final recommendation — the number you say out loud in the interview.</t>
  </si>
  <si>
    <t xml:space="preserve">Red</t>
  </si>
  <si>
    <t xml:space="preserve">Warning / bottleneck — headroom too thin, SLA breach, or a scaling limit.</t>
  </si>
  <si>
    <t xml:space="preserve">Purple</t>
  </si>
  <si>
    <t xml:space="preserve">Cloud-specific mapping — AWS/GCP/Azure/VPS service equivalence.</t>
  </si>
  <si>
    <t xml:space="preserve">SHEET MAP (data-flow order)</t>
  </si>
  <si>
    <t xml:space="preserve">→</t>
  </si>
  <si>
    <t xml:space="preserve">01_Master_Inputs - control panel + scenario dropdown</t>
  </si>
  <si>
    <t xml:space="preserve">02_User_Metrics - MAU/DAU/PCU/RPS</t>
  </si>
  <si>
    <t xml:space="preserve">03_Frontend_CDN - static assets, CDN offload</t>
  </si>
  <si>
    <t xml:space="preserve">04_API_Gateway - rate limiting, auth, WAF, resilience</t>
  </si>
  <si>
    <t xml:space="preserve">05_Load_Balancer - L4/L7, TLS, connections</t>
  </si>
  <si>
    <t xml:space="preserve">06_Backend_Services - microservice sizing table</t>
  </si>
  <si>
    <t xml:space="preserve">07_Network_Latency - hop-by-hop budget, SLA check</t>
  </si>
  <si>
    <t xml:space="preserve">08_Kafka_Design - brokers, partitions, topics, KRaft</t>
  </si>
  <si>
    <t xml:space="preserve">09_Database_Design - QPS, IOPS, connections, storage</t>
  </si>
  <si>
    <t xml:space="preserve">10_Cache_Redis - memory sizing, ops, cluster config</t>
  </si>
  <si>
    <t xml:space="preserve">11_DLQ_Error_Handling - retries, DLQ schema, reprocessing</t>
  </si>
  <si>
    <t xml:space="preserve">12_Traffic_Spikes_DDoS - autoscale math, load shedding</t>
  </si>
  <si>
    <t xml:space="preserve">13_Observability - metrics/logs/traces volume, SLOs</t>
  </si>
  <si>
    <t xml:space="preserve">14_Cloud_Provider_Mapping - AWS vs GCP vs Azure vs VPS</t>
  </si>
  <si>
    <t xml:space="preserve">15_Cloud_Infra_Picker - instance types cheat sheet</t>
  </si>
  <si>
    <t xml:space="preserve">16_Cost_Estimator - monthly/annual cost</t>
  </si>
  <si>
    <t xml:space="preserve">17_Final_Summary_Cheatsheet - one-page whiteboard script</t>
  </si>
  <si>
    <t xml:space="preserve">18_Interview_Practice - 10 scenarios with model answers</t>
  </si>
  <si>
    <t xml:space="preserve">HOW TO RUN A SCENARIO</t>
  </si>
  <si>
    <t xml:space="preserve">Go to 01_Master_Inputs, cell B2. Pick Normal / Flash Sale / Black Friday / Cyber Monday / DDoS from the dropdown. DAU%, Peak-concurrency% and the spike multiplier are pulled via INDEX/MATCH from the hidden 'Scenarios' sheet, and every downstream sheet recalculates instantly.</t>
  </si>
  <si>
    <t xml:space="preserve">PRINTING</t>
  </si>
  <si>
    <t xml:space="preserve">Every sheet is pre-set to landscape, fit-to-1-page-wide, with a repeating header. File &gt; Print &gt; Entire Workbook to produce your physical cheat-deck.</t>
  </si>
  <si>
    <t xml:space="preserve">01 - Master Inputs  (Control Panel)</t>
  </si>
  <si>
    <t xml:space="preserve">SCENARIO:</t>
  </si>
  <si>
    <t xml:space="preserve">Normal</t>
  </si>
  <si>
    <t xml:space="preserve">&lt;- Pick a scenario. Drives DAU%, Peak-Concurrent% and Spike Multiplier below via INDEX/MATCH.</t>
  </si>
  <si>
    <t xml:space="preserve">A - USER METRICS</t>
  </si>
  <si>
    <t xml:space="preserve">MAU</t>
  </si>
  <si>
    <t xml:space="preserve">Monthly active users</t>
  </si>
  <si>
    <t xml:space="preserve">DAU_PCT</t>
  </si>
  <si>
    <t xml:space="preserve">% of MAU active daily - driven by Scenario dropdown</t>
  </si>
  <si>
    <t xml:space="preserve">PEAK_CONCURRENT_PCT</t>
  </si>
  <si>
    <t xml:space="preserve">% of DAU online at peak - driven by Scenario dropdown</t>
  </si>
  <si>
    <t xml:space="preserve">ACTIONS_PER_SESSION</t>
  </si>
  <si>
    <t xml:space="preserve">API calls per user session</t>
  </si>
  <si>
    <t xml:space="preserve">PEAK_DURATION_SEC</t>
  </si>
  <si>
    <t xml:space="preserve">Window over which peak concurrency is spread</t>
  </si>
  <si>
    <t xml:space="preserve">SAFETY_BUFFER</t>
  </si>
  <si>
    <t xml:space="preserve">Multiplier applied to raw RPS for headroom</t>
  </si>
  <si>
    <t xml:space="preserve">B - TRAFFIC SHAPE</t>
  </si>
  <si>
    <t xml:space="preserve">READ_WRITE_SPLIT_READ_PCT</t>
  </si>
  <si>
    <t xml:space="preserve">% of DB traffic that is reads</t>
  </si>
  <si>
    <t xml:space="preserve">CACHE_HIT_PCT</t>
  </si>
  <si>
    <t xml:space="preserve">% of reads served from Redis</t>
  </si>
  <si>
    <t xml:space="preserve">QUERIES_PER_API_CALL</t>
  </si>
  <si>
    <t xml:space="preserve">Average DB queries fired per API call</t>
  </si>
  <si>
    <t xml:space="preserve">AVG_RESPONSE_SIZE_KB</t>
  </si>
  <si>
    <t xml:space="preserve">Average API response payload</t>
  </si>
  <si>
    <t xml:space="preserve">AVG_REQUEST_SIZE_KB</t>
  </si>
  <si>
    <t xml:space="preserve">Average API request payload</t>
  </si>
  <si>
    <t xml:space="preserve">C - KAFKA / MESSAGING</t>
  </si>
  <si>
    <t xml:space="preserve">AVG_MSG_SIZE_KB</t>
  </si>
  <si>
    <t xml:space="preserve">Average Kafka message size</t>
  </si>
  <si>
    <t xml:space="preserve">REPLICATION_FACTOR</t>
  </si>
  <si>
    <t xml:space="preserve">Kafka topic replication factor</t>
  </si>
  <si>
    <t xml:space="preserve">PRODUCER_PER_PARTITION_MBPS</t>
  </si>
  <si>
    <t xml:space="preserve">Max sustained producer throughput per partition</t>
  </si>
  <si>
    <t xml:space="preserve">CONSUMER_PER_PARTITION_MBPS</t>
  </si>
  <si>
    <t xml:space="preserve">Max sustained consumer throughput per partition</t>
  </si>
  <si>
    <t xml:space="preserve">BROKER_CAPACITY_MBPS</t>
  </si>
  <si>
    <t xml:space="preserve">Usable network throughput per broker</t>
  </si>
  <si>
    <t xml:space="preserve">MIN_BROKERS_HA</t>
  </si>
  <si>
    <t xml:space="preserve">Minimum brokers for HA (survive 1 failure with RF=3)</t>
  </si>
  <si>
    <t xml:space="preserve">BROKER_MULTIPLE</t>
  </si>
  <si>
    <t xml:space="preserve">Round partitions up to a multiple of this many brokers</t>
  </si>
  <si>
    <t xml:space="preserve">TOPIC_RETENTION_DAYS</t>
  </si>
  <si>
    <t xml:space="preserve">Default topic retention</t>
  </si>
  <si>
    <t xml:space="preserve">D - DATABASE</t>
  </si>
  <si>
    <t xml:space="preserve">DB_ROW_SIZE_KB</t>
  </si>
  <si>
    <t xml:space="preserve">Average row size incl. overhead</t>
  </si>
  <si>
    <t xml:space="preserve">DB_HOT_RETENTION_DAYS</t>
  </si>
  <si>
    <t xml:space="preserve">Days of hot/OLTP data kept on primary</t>
  </si>
  <si>
    <t xml:space="preserve">DB_CONN_MULTIPLIER</t>
  </si>
  <si>
    <t xml:space="preserve">Connections per core multiplier</t>
  </si>
  <si>
    <t xml:space="preserve">DB_CONN_OVERHEAD</t>
  </si>
  <si>
    <t xml:space="preserve">Fixed connection overhead per instance</t>
  </si>
  <si>
    <t xml:space="preserve">DB_READ_REPLICA_QPS</t>
  </si>
  <si>
    <t xml:space="preserve">Read QPS one replica can sustain</t>
  </si>
  <si>
    <t xml:space="preserve">DB_SSD_IOPS_PER_GB</t>
  </si>
  <si>
    <t xml:space="preserve">IOPS delivered per GB of gp3/io2 volume</t>
  </si>
  <si>
    <t xml:space="preserve">DB_IOPS_PER_QUERY</t>
  </si>
  <si>
    <t xml:space="preserve">Average IOPS consumed per query</t>
  </si>
  <si>
    <t xml:space="preserve">E - CACHE</t>
  </si>
  <si>
    <t xml:space="preserve">SESSION_SIZE_KB</t>
  </si>
  <si>
    <t xml:space="preserve">Bytes per cached session</t>
  </si>
  <si>
    <t xml:space="preserve">CATALOG_SKUS</t>
  </si>
  <si>
    <t xml:space="preserve">Total SKUs in catalog</t>
  </si>
  <si>
    <t xml:space="preserve">CATALOG_ENTRY_KB</t>
  </si>
  <si>
    <t xml:space="preserve">Cached catalog entry size</t>
  </si>
  <si>
    <t xml:space="preserve">HOT_SKU_COUNT</t>
  </si>
  <si>
    <t xml:space="preserve">SKUs cached hot (top sellers)</t>
  </si>
  <si>
    <t xml:space="preserve">HOT_SKU_ENTRY_KB</t>
  </si>
  <si>
    <t xml:space="preserve">Hot SKU cache entry size</t>
  </si>
  <si>
    <t xml:space="preserve">CACHE_OVERHEAD_FACTOR</t>
  </si>
  <si>
    <t xml:space="preserve">Redis metadata/fragmentation overhead</t>
  </si>
  <si>
    <t xml:space="preserve">REDIS_SHARDS</t>
  </si>
  <si>
    <t xml:space="preserve">Cluster shard count</t>
  </si>
  <si>
    <t xml:space="preserve">REDIS_HEADROOM</t>
  </si>
  <si>
    <t xml:space="preserve">Headroom multiplier per shard</t>
  </si>
  <si>
    <t xml:space="preserve">REDIS_OPS_PER_NODE</t>
  </si>
  <si>
    <t xml:space="preserve">Sustained ops/sec per Redis node</t>
  </si>
  <si>
    <t xml:space="preserve">F - APPLICATION SERVERS</t>
  </si>
  <si>
    <t xml:space="preserve">Cores_Per_App_Instance</t>
  </si>
  <si>
    <t xml:space="preserve">vCPU per app pod/instance</t>
  </si>
  <si>
    <t xml:space="preserve">RAM_Per_App_Instance_GB</t>
  </si>
  <si>
    <t xml:space="preserve">RAM per app pod/instance</t>
  </si>
  <si>
    <t xml:space="preserve">Order_Svc_Instances</t>
  </si>
  <si>
    <t xml:space="preserve">Order service pod count</t>
  </si>
  <si>
    <t xml:space="preserve">Payment_Svc_Instances</t>
  </si>
  <si>
    <t xml:space="preserve">Payment service pod count</t>
  </si>
  <si>
    <t xml:space="preserve">Inventory_Svc_Instances</t>
  </si>
  <si>
    <t xml:space="preserve">Inventory service pod count</t>
  </si>
  <si>
    <t xml:space="preserve">Notification_Svc_Instances</t>
  </si>
  <si>
    <t xml:space="preserve">Notification service pod count</t>
  </si>
  <si>
    <t xml:space="preserve">Search_Svc_Instances</t>
  </si>
  <si>
    <t xml:space="preserve">Search service pod count</t>
  </si>
  <si>
    <t xml:space="preserve">Gateway_Instances</t>
  </si>
  <si>
    <t xml:space="preserve">Baseline gateway pod count (before sizing calc)</t>
  </si>
  <si>
    <t xml:space="preserve">RPS_Per_App_Instance</t>
  </si>
  <si>
    <t xml:space="preserve">RPS one generic app instance can sustain</t>
  </si>
  <si>
    <t xml:space="preserve">G - API GATEWAY / EDGE</t>
  </si>
  <si>
    <t xml:space="preserve">Gateway_RPS_Capacity</t>
  </si>
  <si>
    <t xml:space="preserve">Max RPS a gateway node can handle at 100% CPU</t>
  </si>
  <si>
    <t xml:space="preserve">Gateway_CPU_Util_Target</t>
  </si>
  <si>
    <t xml:space="preserve">Target CPU utilization (%) for headroom</t>
  </si>
  <si>
    <t xml:space="preserve">Gateway_Overhead_ms</t>
  </si>
  <si>
    <t xml:space="preserve">Routing/auth/rate-limit overhead per request</t>
  </si>
  <si>
    <t xml:space="preserve">SSL_Handshake_ms</t>
  </si>
  <si>
    <t xml:space="preserve">Cost of a full TLS handshake</t>
  </si>
  <si>
    <t xml:space="preserve">SSL_Rate_Pct</t>
  </si>
  <si>
    <t xml:space="preserve">% of requests that pay a full handshake (rest reuse session)</t>
  </si>
  <si>
    <t xml:space="preserve">WAF_Rules</t>
  </si>
  <si>
    <t xml:space="preserve">Active WAF rule count</t>
  </si>
  <si>
    <t xml:space="preserve">Rate_Limit_Anonymous_RPM</t>
  </si>
  <si>
    <t xml:space="preserve">Requests/min allowed - anonymous</t>
  </si>
  <si>
    <t xml:space="preserve">Rate_Limit_User_RPM</t>
  </si>
  <si>
    <t xml:space="preserve">Requests/min allowed - logged-in user</t>
  </si>
  <si>
    <t xml:space="preserve">Rate_Limit_Premium_RPM</t>
  </si>
  <si>
    <t xml:space="preserve">Requests/min allowed - premium tier</t>
  </si>
  <si>
    <t xml:space="preserve">H - NETWORK / LATENCY</t>
  </si>
  <si>
    <t xml:space="preserve">DNS_Lookup_ms</t>
  </si>
  <si>
    <t xml:space="preserve">DNS resolution</t>
  </si>
  <si>
    <t xml:space="preserve">CDN_Edge_ms</t>
  </si>
  <si>
    <t xml:space="preserve">Edge PoP round trip</t>
  </si>
  <si>
    <t xml:space="preserve">CDN_Origin_Miss_ms</t>
  </si>
  <si>
    <t xml:space="preserve">Extra hop to origin on cache miss</t>
  </si>
  <si>
    <t xml:space="preserve">LB_Forward_ms</t>
  </si>
  <si>
    <t xml:space="preserve">Load balancer forwarding</t>
  </si>
  <si>
    <t xml:space="preserve">Service_Process_ms</t>
  </si>
  <si>
    <t xml:space="preserve">Business-logic processing time</t>
  </si>
  <si>
    <t xml:space="preserve">DB_Query_ms</t>
  </si>
  <si>
    <t xml:space="preserve">Indexed DB query</t>
  </si>
  <si>
    <t xml:space="preserve">Redis_Query_ms</t>
  </si>
  <si>
    <t xml:space="preserve">Cache read</t>
  </si>
  <si>
    <t xml:space="preserve">SLA_P95_ms</t>
  </si>
  <si>
    <t xml:space="preserve">Target P95 latency SLA</t>
  </si>
  <si>
    <t xml:space="preserve">I - DLQ / RETRY</t>
  </si>
  <si>
    <t xml:space="preserve">Max_Retries</t>
  </si>
  <si>
    <t xml:space="preserve">Retry attempts before DLQ</t>
  </si>
  <si>
    <t xml:space="preserve">Retry_Backoff_Base_sec</t>
  </si>
  <si>
    <t xml:space="preserve">First retry delay</t>
  </si>
  <si>
    <t xml:space="preserve">Retry_Backoff_Multiplier</t>
  </si>
  <si>
    <t xml:space="preserve">Exponential backoff multiplier</t>
  </si>
  <si>
    <t xml:space="preserve">DLQ_Retention_Days</t>
  </si>
  <si>
    <t xml:space="preserve">How long DLQ messages are kept</t>
  </si>
  <si>
    <t xml:space="preserve">Reprocess_Batch_Size</t>
  </si>
  <si>
    <t xml:space="preserve">Messages replayed per batch</t>
  </si>
  <si>
    <t xml:space="preserve">Reprocess_Interval_min</t>
  </si>
  <si>
    <t xml:space="preserve">How often on-call reprocesses DLQ</t>
  </si>
  <si>
    <t xml:space="preserve">J - TRAFFIC SPIKE / DDOS</t>
  </si>
  <si>
    <t xml:space="preserve">Spike_Multiplier</t>
  </si>
  <si>
    <t xml:space="preserve">Multiplier on Peak RPS - driven by Scenario dropdown</t>
  </si>
  <si>
    <t xml:space="preserve">DDoS_Peak_RPS</t>
  </si>
  <si>
    <t xml:space="preserve">Assumed peak RPS during a DDoS burst</t>
  </si>
  <si>
    <t xml:space="preserve">Auto_Scale_Trigger_CPU</t>
  </si>
  <si>
    <t xml:space="preserve">CPU% that triggers HPA scale-out</t>
  </si>
  <si>
    <t xml:space="preserve">Auto_Scale_Cooldown_sec</t>
  </si>
  <si>
    <t xml:space="preserve">Cooldown before another scale event</t>
  </si>
  <si>
    <t xml:space="preserve">Load_Shed_Threshold_Pct</t>
  </si>
  <si>
    <t xml:space="preserve">% of capacity at which load shedding begins</t>
  </si>
  <si>
    <t xml:space="preserve">K - OBSERVABILITY</t>
  </si>
  <si>
    <t xml:space="preserve">Metrics_Retention_Days</t>
  </si>
  <si>
    <t xml:space="preserve">Prometheus/Thanos retention</t>
  </si>
  <si>
    <t xml:space="preserve">Log_Retention_Days</t>
  </si>
  <si>
    <t xml:space="preserve">Log retention</t>
  </si>
  <si>
    <t xml:space="preserve">Trace_Sample_Rate_Pct</t>
  </si>
  <si>
    <t xml:space="preserve">% of requests traced</t>
  </si>
  <si>
    <t xml:space="preserve">Log_Size_Per_Request_KB</t>
  </si>
  <si>
    <t xml:space="preserve">Average log volume per request</t>
  </si>
  <si>
    <t xml:space="preserve">L - COST (AWS us-east-1, on-demand, USD)</t>
  </si>
  <si>
    <t xml:space="preserve">Cost_Broker_hr</t>
  </si>
  <si>
    <t xml:space="preserve">m6i.2xlarge</t>
  </si>
  <si>
    <t xml:space="preserve">Cost_App_hr</t>
  </si>
  <si>
    <t xml:space="preserve">c6i.xlarge</t>
  </si>
  <si>
    <t xml:space="preserve">Cost_DB_hr</t>
  </si>
  <si>
    <t xml:space="preserve">r6i.2xlarge</t>
  </si>
  <si>
    <t xml:space="preserve">Cost_Redis_hr</t>
  </si>
  <si>
    <t xml:space="preserve">cache.r6g.xlarge</t>
  </si>
  <si>
    <t xml:space="preserve">Cost_Gateway_hr</t>
  </si>
  <si>
    <t xml:space="preserve">Cost_NLB_hr</t>
  </si>
  <si>
    <t xml:space="preserve">Network Load Balancer</t>
  </si>
  <si>
    <t xml:space="preserve">Cost_Hours_Month</t>
  </si>
  <si>
    <t xml:space="preserve">Hours per month</t>
  </si>
  <si>
    <t xml:space="preserve">Cost_Egress_Per_GB</t>
  </si>
  <si>
    <t xml:space="preserve">Internet egress</t>
  </si>
  <si>
    <t xml:space="preserve">Cost_S3_Per_TB</t>
  </si>
  <si>
    <t xml:space="preserve">S3 standard storage</t>
  </si>
  <si>
    <t xml:space="preserve">Cost_CDN_Per_GB</t>
  </si>
  <si>
    <t xml:space="preserve">CloudFront/CDN egress</t>
  </si>
  <si>
    <t xml:space="preserve">02 - User Metrics  (MAU -&gt; DAU -&gt; PCU -&gt; RPS)</t>
  </si>
  <si>
    <t xml:space="preserve">Step</t>
  </si>
  <si>
    <t xml:space="preserve">Formula (human-readable)</t>
  </si>
  <si>
    <t xml:space="preserve">Live Calculation</t>
  </si>
  <si>
    <t xml:space="preserve">Result</t>
  </si>
  <si>
    <t xml:space="preserve">Derivation Notes</t>
  </si>
  <si>
    <t xml:space="preserve">1. DAU</t>
  </si>
  <si>
    <t xml:space="preserve">MAU * DAU_PCT/100</t>
  </si>
  <si>
    <t xml:space="preserve">Daily active users</t>
  </si>
  <si>
    <t xml:space="preserve">2. Peak Concurrent Users (PCU)</t>
  </si>
  <si>
    <t xml:space="preserve">DAU * PEAK_CONCURRENT_PCT/100</t>
  </si>
  <si>
    <t xml:space="preserve">Users online simultaneously at peak</t>
  </si>
  <si>
    <t xml:space="preserve">3. Raw API RPS</t>
  </si>
  <si>
    <t xml:space="preserve">(PCU * ACTIONS_PER_SESSION) / PEAK_DURATION_SEC</t>
  </si>
  <si>
    <t xml:space="preserve">Unbuffered request rate</t>
  </si>
  <si>
    <t xml:space="preserve">4. Peak API RPS</t>
  </si>
  <si>
    <t xml:space="preserve">Raw RPS * SAFETY_BUFFER</t>
  </si>
  <si>
    <t xml:space="preserve">This is the anchor number for every downstream sheet</t>
  </si>
  <si>
    <t xml:space="preserve">5. Daily Requests</t>
  </si>
  <si>
    <t xml:space="preserve">DAU * ACTIONS_PER_SESSION</t>
  </si>
  <si>
    <t xml:space="preserve">6. Monthly Requests</t>
  </si>
  <si>
    <t xml:space="preserve">Daily Requests * 30</t>
  </si>
  <si>
    <t xml:space="preserve">7. Peak Bandwidth (MB/s)</t>
  </si>
  <si>
    <t xml:space="preserve">Peak RPS * AVG_RESPONSE_SIZE_KB / 1024</t>
  </si>
  <si>
    <t xml:space="preserve">8. Peak Bandwidth (Gbps)</t>
  </si>
  <si>
    <t xml:space="preserve">MB/s * 8 / 1000</t>
  </si>
  <si>
    <t xml:space="preserve">9. Daily Egress (GB)</t>
  </si>
  <si>
    <t xml:space="preserve">Daily Requests * AVG_RESPONSE_SIZE_KB / 1024 / 1024</t>
  </si>
  <si>
    <t xml:space="preserve">10. Monthly Egress (TB)</t>
  </si>
  <si>
    <t xml:space="preserve">Daily Egress GB * 30 / 1024</t>
  </si>
  <si>
    <t xml:space="preserve">Feeds CDN + cost sheets</t>
  </si>
  <si>
    <t xml:space="preserve">🎤 INTERVIEW TALK TRACK:  Assuming 10M MAU and a 20% DAU ratio, we get 2M DAU. During peak, 20% are online simultaneously -- that's 400k concurrent. Each user makes 30 calls, so raw RPS is about 3.3k, and with a 2x safety buffer we anchor on roughly 7k RPS. Every downstream sizing decision in this workbook traces back to that one number.</t>
  </si>
  <si>
    <t xml:space="preserve">03 - Frontend &amp; CDN</t>
  </si>
  <si>
    <t xml:space="preserve">ASSUMPTIONS</t>
  </si>
  <si>
    <t xml:space="preserve">Static_Asset_MB_Per_User</t>
  </si>
  <si>
    <t xml:space="preserve">MB of static assets (JS/CSS/images) per user per day</t>
  </si>
  <si>
    <t xml:space="preserve">CDN_Cache_Hit_Ratio_Pct</t>
  </si>
  <si>
    <t xml:space="preserve">% of static requests served at the edge</t>
  </si>
  <si>
    <t xml:space="preserve">Edge_Node_Capacity_RPS</t>
  </si>
  <si>
    <t xml:space="preserve">RPS one edge PoP can serve</t>
  </si>
  <si>
    <t xml:space="preserve">CDN_PoPs_Global</t>
  </si>
  <si>
    <t xml:space="preserve">Number of global CDN PoPs</t>
  </si>
  <si>
    <t xml:space="preserve">Compression_Reduction_Pct</t>
  </si>
  <si>
    <t xml:space="preserve">Bandwidth reduction from HTTP/3 + Brotli</t>
  </si>
  <si>
    <t xml:space="preserve">Service_Worker_Hit_Pct</t>
  </si>
  <si>
    <t xml:space="preserve">% of repeat users served from local SW cache</t>
  </si>
  <si>
    <t xml:space="preserve">1. Total Static Data/day (GB)</t>
  </si>
  <si>
    <t xml:space="preserve">DAU * Static_Asset_MB_Per_User / 1024</t>
  </si>
  <si>
    <t xml:space="preserve">2. Origin Traffic/day (GB)</t>
  </si>
  <si>
    <t xml:space="preserve">Total * (1 - CDN_Cache_Hit_Ratio_Pct/100)</t>
  </si>
  <si>
    <t xml:space="preserve">What actually reaches origin</t>
  </si>
  <si>
    <t xml:space="preserve">3. Required Edge Nodes</t>
  </si>
  <si>
    <t xml:space="preserve">ROUNDUP(Peak RPS / Edge_Node_Capacity_RPS, 0)</t>
  </si>
  <si>
    <t xml:space="preserve">4. CDN Bandwidth Peak (Gbps)</t>
  </si>
  <si>
    <t xml:space="preserve">Peak RPS * 2MB * 8 / 1024 / 1000</t>
  </si>
  <si>
    <t xml:space="preserve">5. Effective Bandwidth after compression (Gbps)</t>
  </si>
  <si>
    <t xml:space="preserve">Peak Gbps * (1 - Compression_Reduction_Pct/100)</t>
  </si>
  <si>
    <t xml:space="preserve">HTTP/3 + Brotli</t>
  </si>
  <si>
    <t xml:space="preserve">6. Service-Worker-Absorbed Requests/s</t>
  </si>
  <si>
    <t xml:space="preserve">Peak RPS * Service_Worker_Hit_Pct/100</t>
  </si>
  <si>
    <t xml:space="preserve">Never leaves the browser</t>
  </si>
  <si>
    <t xml:space="preserve">7. Origin-Bound Dynamic RPS</t>
  </si>
  <si>
    <t xml:space="preserve">Peak RPS * (1 - CDN_Cache_Hit_Ratio_Pct/100)</t>
  </si>
  <si>
    <t xml:space="preserve">This is what the gateway must actually absorb</t>
  </si>
  <si>
    <t xml:space="preserve">🎤 INTERVIEW TALK TRACK:  98% of static traffic never reaches our origin. For 7k peak RPS, the origin only sees about 140 RPS of dynamic API traffic. The CDN handles the rest across 200+ global PoPs -- that's why our gateway is sized for thousands of RPS, not hundreds of thousands.</t>
  </si>
  <si>
    <t xml:space="preserve">04 - API Gateway &amp; Edge</t>
  </si>
  <si>
    <t xml:space="preserve">A. SIZING</t>
  </si>
  <si>
    <t xml:space="preserve">1. Effective RPS/instance</t>
  </si>
  <si>
    <t xml:space="preserve">Gateway_RPS_Capacity * Gateway_CPU_Util_Target/100</t>
  </si>
  <si>
    <t xml:space="preserve">2. Raw Gateway Instances</t>
  </si>
  <si>
    <t xml:space="preserve">ROUNDUP(Peak RPS / Effective RPS, 0)</t>
  </si>
  <si>
    <t xml:space="preserve">3. Availability Zones</t>
  </si>
  <si>
    <t xml:space="preserve">Fixed</t>
  </si>
  <si>
    <t xml:space="preserve">Multi-AZ standard</t>
  </si>
  <si>
    <t xml:space="preserve">4. Per-AZ Instances (N+1)</t>
  </si>
  <si>
    <t xml:space="preserve">ROUNDUP(Raw / Zones, 0) + 1</t>
  </si>
  <si>
    <t xml:space="preserve">5. Total Gateway Instances (sized)</t>
  </si>
  <si>
    <t xml:space="preserve">Per-AZ * Zones</t>
  </si>
  <si>
    <t xml:space="preserve">Use this, not Gateway_Instances input, for downstream cost/capacity</t>
  </si>
  <si>
    <t xml:space="preserve">6. Gateway Latency Added (ms)</t>
  </si>
  <si>
    <t xml:space="preserve">Gateway_Overhead_ms + SSL_Handshake_ms*SSL_Rate_Pct/100</t>
  </si>
  <si>
    <t xml:space="preserve">7. Gateway CPU Cores Total</t>
  </si>
  <si>
    <t xml:space="preserve">Total Instances * Cores_Per_App_Instance</t>
  </si>
  <si>
    <t xml:space="preserve">B. RATE LIMITING</t>
  </si>
  <si>
    <t xml:space="preserve">8. Rate-Limit Redis Ops/s</t>
  </si>
  <si>
    <t xml:space="preserve">Peak RPS * 2 (INCR + EXPIRE)</t>
  </si>
  <si>
    <t xml:space="preserve">9. Rate-Limit Memory (MB)</t>
  </si>
  <si>
    <t xml:space="preserve">DAU * 200 bytes / 1024 / 1024</t>
  </si>
  <si>
    <t xml:space="preserve">10. Estimated Reject % (DDoS signal)</t>
  </si>
  <si>
    <t xml:space="preserve">0.5% of peak</t>
  </si>
  <si>
    <t xml:space="preserve">Fixed heuristic</t>
  </si>
  <si>
    <t xml:space="preserve">Tier</t>
  </si>
  <si>
    <t xml:space="preserve">RPM</t>
  </si>
  <si>
    <t xml:space="preserve">Burst</t>
  </si>
  <si>
    <t xml:space="preserve">Storage</t>
  </si>
  <si>
    <t xml:space="preserve">Algorithm</t>
  </si>
  <si>
    <t xml:space="preserve">Anonymous</t>
  </si>
  <si>
    <t xml:space="preserve">10x</t>
  </si>
  <si>
    <t xml:space="preserve">In-memory + Redis</t>
  </si>
  <si>
    <t xml:space="preserve">Fixed window</t>
  </si>
  <si>
    <t xml:space="preserve">Logged-in User</t>
  </si>
  <si>
    <t xml:space="preserve">5x</t>
  </si>
  <si>
    <t xml:space="preserve">Redis</t>
  </si>
  <si>
    <t xml:space="preserve">Sliding window</t>
  </si>
  <si>
    <t xml:space="preserve">Premium</t>
  </si>
  <si>
    <t xml:space="preserve">3x</t>
  </si>
  <si>
    <t xml:space="preserve">Internal Service</t>
  </si>
  <si>
    <t xml:space="preserve">N/A - mTLS trusted</t>
  </si>
  <si>
    <t xml:space="preserve">N/A</t>
  </si>
  <si>
    <t xml:space="preserve">None (mesh-level)</t>
  </si>
  <si>
    <t xml:space="preserve">C. AUTH</t>
  </si>
  <si>
    <t xml:space="preserve">11. JWT Verify Ops/s</t>
  </si>
  <si>
    <t xml:space="preserve">Equals Peak RPS</t>
  </si>
  <si>
    <t xml:space="preserve">12. JWT CPU Cost (cores)</t>
  </si>
  <si>
    <t xml:space="preserve">Peak RPS * 0.5ms / 1000</t>
  </si>
  <si>
    <t xml:space="preserve">13. JWT Public Key Cache (KB)</t>
  </si>
  <si>
    <t xml:space="preserve">Static</t>
  </si>
  <si>
    <t xml:space="preserve">JWKS cached at edge</t>
  </si>
  <si>
    <t xml:space="preserve">D. RESILIENCE (info)</t>
  </si>
  <si>
    <t xml:space="preserve">Backend</t>
  </si>
  <si>
    <t xml:space="preserve">Error % Threshold</t>
  </si>
  <si>
    <t xml:space="preserve">Window (s)</t>
  </si>
  <si>
    <t xml:space="preserve">Open Duration (s)</t>
  </si>
  <si>
    <t xml:space="preserve">Half-Open Probes</t>
  </si>
  <si>
    <t xml:space="preserve">Order Service</t>
  </si>
  <si>
    <t xml:space="preserve">Payment Service</t>
  </si>
  <si>
    <t xml:space="preserve">Inventory Service</t>
  </si>
  <si>
    <t xml:space="preserve">Search Service</t>
  </si>
  <si>
    <t xml:space="preserve">Bulkhead: max 100 concurrent calls per backend.  Timeouts: connect=3s, read=10s, total=15s.</t>
  </si>
  <si>
    <t xml:space="preserve">E. REAL-TIME</t>
  </si>
  <si>
    <t xml:space="preserve">18. WebSocket Concurrent (order tracking)</t>
  </si>
  <si>
    <t xml:space="preserve">PCU * 5%</t>
  </si>
  <si>
    <t xml:space="preserve">19. SSE Concurrent (price updates)</t>
  </si>
  <si>
    <t xml:space="preserve">PCU * 10%</t>
  </si>
  <si>
    <t xml:space="preserve">20. WS Memory (MB)</t>
  </si>
  <si>
    <t xml:space="preserve">Concurrent * 64KB / 1024</t>
  </si>
  <si>
    <t xml:space="preserve">🎤 INTERVIEW TALK TRACK:  For 7k RPS, effective capacity per gateway is 1,800 RPS at 60% CPU -- that's 4 raw instances, and with N+1 per AZ across 3 AZs we run about 9 gateway pods. Gateway adds roughly 3.5ms of latency. Rate limiting runs on Redis token buckets -- 100 req/min for logged-in users, 10x that as burst.</t>
  </si>
  <si>
    <t xml:space="preserve">05 - Load Balancer</t>
  </si>
  <si>
    <t xml:space="preserve">1. LB Type</t>
  </si>
  <si>
    <t xml:space="preserve">NLB(L4, TLS passthrough) + ALB(L7, HTTP routing)</t>
  </si>
  <si>
    <t xml:space="preserve">Two-tier: NLB absorbs TLS/SYN, ALB does path routing</t>
  </si>
  <si>
    <t xml:space="preserve">2. LB Instances</t>
  </si>
  <si>
    <t xml:space="preserve">Active-active multi-AZ</t>
  </si>
  <si>
    <t xml:space="preserve">3. Concurrent Connections</t>
  </si>
  <si>
    <t xml:space="preserve">Peak RPS * 2 (keep-alive ratio)</t>
  </si>
  <si>
    <t xml:space="preserve">4. TLS Handshakes/sec</t>
  </si>
  <si>
    <t xml:space="preserve">Peak RPS * SSL_Rate_Pct/100</t>
  </si>
  <si>
    <t xml:space="preserve">5. LB Latency Added (ms)</t>
  </si>
  <si>
    <t xml:space="preserve">6. Health Check Interval (s)</t>
  </si>
  <si>
    <t xml:space="preserve">Fixed policy</t>
  </si>
  <si>
    <t xml:space="preserve">3 consecutive failures = ejected</t>
  </si>
  <si>
    <t xml:space="preserve">7. Sticky Session TTL (min)</t>
  </si>
  <si>
    <t xml:space="preserve">WebSocket only</t>
  </si>
  <si>
    <t xml:space="preserve">8. Connection Draining (s)</t>
  </si>
  <si>
    <t xml:space="preserve">On scale-down</t>
  </si>
  <si>
    <t xml:space="preserve">🎤 INTERVIEW TALK TRACK:  We terminate TLS at the NLB for pass-through performance and route at L7 with an ALB for path-based rules. Two nodes active-active across AZs; health checks eject a backend after 3 failed probes; WebSocket connections get 5-minute sticky sessions so order-tracking sockets survive rebalancing.</t>
  </si>
  <si>
    <t xml:space="preserve">06 - Backend Services</t>
  </si>
  <si>
    <t xml:space="preserve">Service</t>
  </si>
  <si>
    <t xml:space="preserve">Instances</t>
  </si>
  <si>
    <t xml:space="preserve">Cores</t>
  </si>
  <si>
    <t xml:space="preserve">RAM(GB)</t>
  </si>
  <si>
    <t xml:space="preserve">RPS Cap/Inst</t>
  </si>
  <si>
    <t xml:space="preserve">Total RPS Cap</t>
  </si>
  <si>
    <t xml:space="preserve">Notes</t>
  </si>
  <si>
    <t xml:space="preserve">API Gateway</t>
  </si>
  <si>
    <t xml:space="preserve">Rate limit, auth, routing</t>
  </si>
  <si>
    <t xml:space="preserve">Outbox pattern, Kafka producer</t>
  </si>
  <si>
    <t xml:space="preserve">Idempotent, PCI-scoped zone</t>
  </si>
  <si>
    <t xml:space="preserve">Cache-heavy, Redis-backed</t>
  </si>
  <si>
    <t xml:space="preserve">Notification Service</t>
  </si>
  <si>
    <t xml:space="preserve">Async, Kafka consumer</t>
  </si>
  <si>
    <t xml:space="preserve">Elasticsearch facade</t>
  </si>
  <si>
    <t xml:space="preserve">TOTAL</t>
  </si>
  <si>
    <t xml:space="preserve">Headroom %</t>
  </si>
  <si>
    <t xml:space="preserve">(Total RPS Cap / Peak RPS - 1) * 100</t>
  </si>
  <si>
    <t xml:space="preserve">WARNING if &lt; 50%</t>
  </si>
  <si>
    <t xml:space="preserve">Headroom Status</t>
  </si>
  <si>
    <t xml:space="preserve">IF(Headroom&lt;50,"WARNING - THIN","OK")</t>
  </si>
  <si>
    <t xml:space="preserve">🎤 INTERVIEW TALK TRACK:  Twenty-plus pods across five services plus the gateway give us roughly 3x headroom over peak RPS -- enough to absorb a single-AZ failure without falling over. Payment stays isolated in its own PCI-scoped namespace; inventory is the cache-heaviest service so it gets extra Redis connection budget.</t>
  </si>
  <si>
    <t xml:space="preserve">07 - Network Latency (Hop-by-Hop Budget)</t>
  </si>
  <si>
    <t xml:space="preserve">Hop</t>
  </si>
  <si>
    <t xml:space="preserve">Latency (ms)</t>
  </si>
  <si>
    <t xml:space="preserve">Cumulative (ms)</t>
  </si>
  <si>
    <t xml:space="preserve">% of Budget</t>
  </si>
  <si>
    <t xml:space="preserve">Client -&gt; DNS</t>
  </si>
  <si>
    <t xml:space="preserve">DNS resolution, cached after first hit</t>
  </si>
  <si>
    <t xml:space="preserve">DNS -&gt; CDN PoP</t>
  </si>
  <si>
    <t xml:space="preserve">Anycast routing to nearest edge</t>
  </si>
  <si>
    <t xml:space="preserve">CDN -&gt; Origin (on miss)</t>
  </si>
  <si>
    <t xml:space="preserve">Only ~2% of requests (cache miss)</t>
  </si>
  <si>
    <t xml:space="preserve">Origin -&gt; LB</t>
  </si>
  <si>
    <t xml:space="preserve">TCP handoff</t>
  </si>
  <si>
    <t xml:space="preserve">LB -&gt; API Gateway</t>
  </si>
  <si>
    <t xml:space="preserve">mTLS inside VPC</t>
  </si>
  <si>
    <t xml:space="preserve">Gateway (JWT + RL + route)</t>
  </si>
  <si>
    <t xml:space="preserve">Auth + rate-limit + routing</t>
  </si>
  <si>
    <t xml:space="preserve">Gateway -&gt; Service</t>
  </si>
  <si>
    <t xml:space="preserve">Service mesh sidecar hop</t>
  </si>
  <si>
    <t xml:space="preserve">Service processing</t>
  </si>
  <si>
    <t xml:space="preserve">Business logic</t>
  </si>
  <si>
    <t xml:space="preserve">Service -&gt; Redis</t>
  </si>
  <si>
    <t xml:space="preserve">Service -&gt; PostgreSQL</t>
  </si>
  <si>
    <t xml:space="preserve">Indexed query</t>
  </si>
  <si>
    <t xml:space="preserve">Service -&gt; Response</t>
  </si>
  <si>
    <t xml:space="preserve">Serialize JSON</t>
  </si>
  <si>
    <t xml:space="preserve">Reverse path (LB, CDN)</t>
  </si>
  <si>
    <t xml:space="preserve">Response traverses back</t>
  </si>
  <si>
    <t xml:space="preserve">Uncached Path P50 (ms)</t>
  </si>
  <si>
    <t xml:space="preserve">SUM of all hops (incl. origin miss + DB)</t>
  </si>
  <si>
    <t xml:space="preserve">Full round trip on a cache miss</t>
  </si>
  <si>
    <t xml:space="preserve">Cached Path P50 (ms)</t>
  </si>
  <si>
    <t xml:space="preserve">Uncached minus CDN-origin-miss and DB-query hops</t>
  </si>
  <si>
    <t xml:space="preserve">CDN + Redis hit path</t>
  </si>
  <si>
    <t xml:space="preserve">Blended P50 (ms)</t>
  </si>
  <si>
    <t xml:space="preserve">98% cached, 2% uncached (per CDN sheet)</t>
  </si>
  <si>
    <t xml:space="preserve">P95 (ms)</t>
  </si>
  <si>
    <t xml:space="preserve">Blended P50 * 1.8 (typical tail amplification)</t>
  </si>
  <si>
    <t xml:space="preserve">P99 (ms)</t>
  </si>
  <si>
    <t xml:space="preserve">Blended P50 * 3.0</t>
  </si>
  <si>
    <t xml:space="preserve">SLA Compliance</t>
  </si>
  <si>
    <t xml:space="preserve">IF(P95 &lt; SLA_P95_ms, "PASS", "FAIL")</t>
  </si>
  <si>
    <t xml:space="preserve">🎤 INTERVIEW TALK TRACK:  Cached path completes in around 30ms; uncached in around 80ms. Blending the 98/2 CDN hit ratio and applying an 1.8x tail amplification puts P95 comfortably under our 200ms SLA. Kafka writes are fire-and-forget from the request path, so they never touch this latency budget.</t>
  </si>
  <si>
    <t xml:space="preserve">08 - Kafka Design</t>
  </si>
  <si>
    <t xml:space="preserve">A. THROUGHPUT</t>
  </si>
  <si>
    <t xml:space="preserve">1. Kafka MB/s</t>
  </si>
  <si>
    <t xml:space="preserve">Peak RPS * AVG_MSG_SIZE_KB / 1024</t>
  </si>
  <si>
    <t xml:space="preserve">2. Internal MB/s (with replication)</t>
  </si>
  <si>
    <t xml:space="preserve">MB/s * REPLICATION_FACTOR</t>
  </si>
  <si>
    <t xml:space="preserve">3. Daily Volume (GB)</t>
  </si>
  <si>
    <t xml:space="preserve">MB/s * 86400 / 1024</t>
  </si>
  <si>
    <t xml:space="preserve">4. Monthly Volume (TB)</t>
  </si>
  <si>
    <t xml:space="preserve">Daily * 30 / 1024</t>
  </si>
  <si>
    <t xml:space="preserve">5. With Compression (zstd, ~3x)</t>
  </si>
  <si>
    <t xml:space="preserve">Monthly / 3</t>
  </si>
  <si>
    <t xml:space="preserve">B. PARTITIONS &amp; BROKERS</t>
  </si>
  <si>
    <t xml:space="preserve">6. Partitions (producer-bound)</t>
  </si>
  <si>
    <t xml:space="preserve">ROUNDUP(MB/s / PRODUCER_PER_PARTITION_MBPS, 0)</t>
  </si>
  <si>
    <t xml:space="preserve">7. Partitions (consumer-bound)</t>
  </si>
  <si>
    <t xml:space="preserve">ROUNDUP(MB/s / CONSUMER_PER_PARTITION_MBPS, 0)</t>
  </si>
  <si>
    <t xml:space="preserve">8. Raw Partitions</t>
  </si>
  <si>
    <t xml:space="preserve">MAX(producer-bound, consumer-bound, MIN_BROKERS_HA)</t>
  </si>
  <si>
    <t xml:space="preserve">9. Adjusted Partitions</t>
  </si>
  <si>
    <t xml:space="preserve">ROUNDUP(Raw / BROKER_MULTIPLE, 0) * BROKER_MULTIPLE</t>
  </si>
  <si>
    <t xml:space="preserve">Rounded to a clean multiple of brokers</t>
  </si>
  <si>
    <t xml:space="preserve">10. Brokers</t>
  </si>
  <si>
    <t xml:space="preserve">MAX(MIN_BROKERS_HA, ROUNDUP(Internal MB/s / BROKER_CAPACITY_MBPS, 0))</t>
  </si>
  <si>
    <t xml:space="preserve">C. TOPIC TABLE</t>
  </si>
  <si>
    <t xml:space="preserve">Topic</t>
  </si>
  <si>
    <t xml:space="preserve">Partitions</t>
  </si>
  <si>
    <t xml:space="preserve">Retention(d)</t>
  </si>
  <si>
    <t xml:space="preserve">RF</t>
  </si>
  <si>
    <t xml:space="preserve">Cleanup</t>
  </si>
  <si>
    <t xml:space="preserve">Purpose</t>
  </si>
  <si>
    <t xml:space="preserve">order.events</t>
  </si>
  <si>
    <t xml:space="preserve">delete</t>
  </si>
  <si>
    <t xml:space="preserve">Order lifecycle events</t>
  </si>
  <si>
    <t xml:space="preserve">payment.transactions</t>
  </si>
  <si>
    <t xml:space="preserve">compact</t>
  </si>
  <si>
    <t xml:space="preserve">Payment ledger (compliance)</t>
  </si>
  <si>
    <t xml:space="preserve">inventory.updates</t>
  </si>
  <si>
    <t xml:space="preserve">Stock level changes</t>
  </si>
  <si>
    <t xml:space="preserve">order.dlq</t>
  </si>
  <si>
    <t xml:space="preserve">Dead-letter queue</t>
  </si>
  <si>
    <t xml:space="preserve">order.retry.5s</t>
  </si>
  <si>
    <t xml:space="preserve">Retry tier 1</t>
  </si>
  <si>
    <t xml:space="preserve">order.retry.30s</t>
  </si>
  <si>
    <t xml:space="preserve">Retry tier 2</t>
  </si>
  <si>
    <t xml:space="preserve">order.retry.5m</t>
  </si>
  <si>
    <t xml:space="preserve">Retry tier 3</t>
  </si>
  <si>
    <t xml:space="preserve">order.reprocess</t>
  </si>
  <si>
    <t xml:space="preserve">Manual on-call reprocess</t>
  </si>
  <si>
    <t xml:space="preserve">D. KRAFT CONTROL PLANE</t>
  </si>
  <si>
    <t xml:space="preserve">11. KRaft Controllers</t>
  </si>
  <si>
    <t xml:space="preserve">Fixed (odd number for quorum)</t>
  </si>
  <si>
    <t xml:space="preserve">12. Controller Cores (each)</t>
  </si>
  <si>
    <t xml:space="preserve">13. Controller RAM GB (each)</t>
  </si>
  <si>
    <t xml:space="preserve">14. Metadata Ops/sec</t>
  </si>
  <si>
    <t xml:space="preserve">Partitions * 0.1</t>
  </si>
  <si>
    <t xml:space="preserve">Approximation</t>
  </si>
  <si>
    <t xml:space="preserve">E. PRODUCER CONFIG</t>
  </si>
  <si>
    <t xml:space="preserve">- acks=1 (acks=all for payment.transactions)</t>
  </si>
  <si>
    <t xml:space="preserve">- enable.idempotence=true</t>
  </si>
  <si>
    <t xml:space="preserve">- compression.type=zstd</t>
  </si>
  <si>
    <t xml:space="preserve">- batch.size=1048576</t>
  </si>
  <si>
    <t xml:space="preserve">- linger.ms=20</t>
  </si>
  <si>
    <t xml:space="preserve">- max.in.flight.requests.per.connection=5</t>
  </si>
  <si>
    <t xml:space="preserve">F. CONSUMER CONFIG</t>
  </si>
  <si>
    <t xml:space="preserve">- max.poll.records=5000</t>
  </si>
  <si>
    <t xml:space="preserve">- fetch.min.bytes=1048576</t>
  </si>
  <si>
    <t xml:space="preserve">- enable.auto.commit=false</t>
  </si>
  <si>
    <t xml:space="preserve">- isolation.level=read_committed</t>
  </si>
  <si>
    <t xml:space="preserve">- partition.assignment.strategy=CooperativeStickyAssignor</t>
  </si>
  <si>
    <t xml:space="preserve">🎤 INTERVIEW TALK TRACK:  At 7k RPS times 1KB messages we need roughly 7MB/s of producer throughput; with RF=3 that's 21MB/s internal. Rounding to clean broker multiples gives 24 partitions across a 6-broker cluster. KRaft runs 3 controllers for HA -- no ZooKeeper. Idempotent producers plus transactions give us exactly-once semantics on the payment topic specifically.</t>
  </si>
  <si>
    <t xml:space="preserve">SENSITIVITY: THROUGHPUT vs PARTITIONS</t>
  </si>
  <si>
    <t xml:space="preserve">Max Producer Throughput (MB/s)</t>
  </si>
  <si>
    <t xml:space="preserve">Max Consumer Throughput (MB/s)</t>
  </si>
  <si>
    <t xml:space="preserve">09 - Database Design (PostgreSQL)</t>
  </si>
  <si>
    <t xml:space="preserve">A. QPS</t>
  </si>
  <si>
    <t xml:space="preserve">1. Total DB QPS</t>
  </si>
  <si>
    <t xml:space="preserve">Peak RPS * QUERIES_PER_API_CALL</t>
  </si>
  <si>
    <t xml:space="preserve">2. Read QPS</t>
  </si>
  <si>
    <t xml:space="preserve">Total * READ_WRITE_SPLIT_READ_PCT/100</t>
  </si>
  <si>
    <t xml:space="preserve">3. Write QPS</t>
  </si>
  <si>
    <t xml:space="preserve">Total - Read QPS</t>
  </si>
  <si>
    <t xml:space="preserve">4. Cache-Hit Reads</t>
  </si>
  <si>
    <t xml:space="preserve">Read QPS * CACHE_HIT_PCT/100</t>
  </si>
  <si>
    <t xml:space="preserve">5. Cache-Miss Reads</t>
  </si>
  <si>
    <t xml:space="preserve">Read QPS - Cache-Hit Reads</t>
  </si>
  <si>
    <t xml:space="preserve">6. Actual DB QPS (post-cache)</t>
  </si>
  <si>
    <t xml:space="preserve">Cache-Miss Reads + Write QPS</t>
  </si>
  <si>
    <t xml:space="preserve">What Postgres really sees</t>
  </si>
  <si>
    <t xml:space="preserve">B. IOPS</t>
  </si>
  <si>
    <t xml:space="preserve">7. Total IOPS Required</t>
  </si>
  <si>
    <t xml:space="preserve">Actual DB QPS * DB_IOPS_PER_QUERY</t>
  </si>
  <si>
    <t xml:space="preserve">8. Recommended IOPS (2x headroom)</t>
  </si>
  <si>
    <t xml:space="preserve">Total * 2</t>
  </si>
  <si>
    <t xml:space="preserve">9. NVMe SSD Baseline</t>
  </si>
  <si>
    <t xml:space="preserve">gp3 default vs io2 Block Express ceiling</t>
  </si>
  <si>
    <t xml:space="preserve">Reference only</t>
  </si>
  <si>
    <t xml:space="preserve">10. Disk Size Needed (GB)</t>
  </si>
  <si>
    <t xml:space="preserve">ROUNDUP(Recommended IOPS / DB_SSD_IOPS_PER_GB, 0)</t>
  </si>
  <si>
    <t xml:space="preserve">C. CONNECTIONS</t>
  </si>
  <si>
    <t xml:space="preserve">11. Conn per App Instance</t>
  </si>
  <si>
    <t xml:space="preserve">(Cores * DB_CONN_MULTIPLIER) + DB_CONN_OVERHEAD</t>
  </si>
  <si>
    <t xml:space="preserve">12. Total App Instances</t>
  </si>
  <si>
    <t xml:space="preserve">Sum of backend service instances (06_Backend_Services)</t>
  </si>
  <si>
    <t xml:space="preserve">13. Total DB Connections</t>
  </si>
  <si>
    <t xml:space="preserve">Instances * Conn per Instance</t>
  </si>
  <si>
    <t xml:space="preserve">14. max_connections (postgresql.conf)</t>
  </si>
  <si>
    <t xml:space="preserve">ROUNDUP(Total * 1.5, 0)</t>
  </si>
  <si>
    <t xml:space="preserve">PgBouncer recommended above ~500</t>
  </si>
  <si>
    <t xml:space="preserve">D. STORAGE</t>
  </si>
  <si>
    <t xml:space="preserve">15. Daily Writes</t>
  </si>
  <si>
    <t xml:space="preserve">Write QPS * 86400</t>
  </si>
  <si>
    <t xml:space="preserve">16. Hot Data Rows</t>
  </si>
  <si>
    <t xml:space="preserve">Daily Writes * DB_HOT_RETENTION_DAYS</t>
  </si>
  <si>
    <t xml:space="preserve">17. Hot Data Size (GB)</t>
  </si>
  <si>
    <t xml:space="preserve">Hot Data Rows * DB_ROW_SIZE_KB / 1024 / 1024</t>
  </si>
  <si>
    <t xml:space="preserve">18. With Indexes (GB)</t>
  </si>
  <si>
    <t xml:space="preserve">Hot Data GB * 1.5</t>
  </si>
  <si>
    <t xml:space="preserve">19. With WAL (2x)</t>
  </si>
  <si>
    <t xml:space="preserve">20. Backup Storage (S3, 30d)</t>
  </si>
  <si>
    <t xml:space="preserve">Daily full backup * 30 retained copies notional</t>
  </si>
  <si>
    <t xml:space="preserve">Feeds 16_Cost_Estimator S3 line</t>
  </si>
  <si>
    <t xml:space="preserve">E. SERVER SIZING</t>
  </si>
  <si>
    <t xml:space="preserve">21. Recommended RAM (GB, shared_buffers 25%)</t>
  </si>
  <si>
    <t xml:space="preserve">ROUNDUP(Hot Data GB * 0.25, 0)</t>
  </si>
  <si>
    <t xml:space="preserve">22. Recommended vCPU</t>
  </si>
  <si>
    <t xml:space="preserve">MAX(8, ROUNDUP(Actual QPS / 2000, 0))</t>
  </si>
  <si>
    <t xml:space="preserve">23. Primary Server</t>
  </si>
  <si>
    <t xml:space="preserve">Fixed recommendation</t>
  </si>
  <si>
    <t xml:space="preserve">24. Read Replicas</t>
  </si>
  <si>
    <t xml:space="preserve">ROUNDUP(Read QPS / DB_READ_REPLICA_QPS, 0)</t>
  </si>
  <si>
    <t xml:space="preserve">F. INDEXES &amp; SHARDING (info)</t>
  </si>
  <si>
    <t xml:space="preserve">B-tree indexes: order_id, user_id, created_at, status. Partial index on status='PENDING' (hot path). Shard by HASH(user_id) MOD 16 once a table crosses ~5TB.</t>
  </si>
  <si>
    <t xml:space="preserve">🎤 INTERVIEW TALK TRACK:  Raw DB QPS is about 21k, but with a 95% cache hit rate only roughly 1,050 queries a second actually hit disk. That needs about 1,260 IOPS -- trivial for NVMe gp3. We size Postgres around 64GB RAM with a 16GB shared_buffers and a few hundred max_connections behind PgBouncer, plus read replicas to absorb analytics and search-adjacent read traffic.</t>
  </si>
  <si>
    <t xml:space="preserve">10 - Cache (Redis)</t>
  </si>
  <si>
    <t xml:space="preserve">A. MEMORY</t>
  </si>
  <si>
    <t xml:space="preserve">1. Session Memory (GB)</t>
  </si>
  <si>
    <t xml:space="preserve">DAU * SESSION_SIZE_KB / 1024 / 1024</t>
  </si>
  <si>
    <t xml:space="preserve">2. Catalog Memory (GB)</t>
  </si>
  <si>
    <t xml:space="preserve">CATALOG_SKUS * CATALOG_ENTRY_KB / 1024 / 1024</t>
  </si>
  <si>
    <t xml:space="preserve">3. Hot SKU Memory (GB)</t>
  </si>
  <si>
    <t xml:space="preserve">HOT_SKU_COUNT * HOT_SKU_ENTRY_KB / 1024 / 1024</t>
  </si>
  <si>
    <t xml:space="preserve">4. Subtotal (GB)</t>
  </si>
  <si>
    <t xml:space="preserve">1 + 2 + 3</t>
  </si>
  <si>
    <t xml:space="preserve">5. With Overhead (GB)</t>
  </si>
  <si>
    <t xml:space="preserve">Subtotal * CACHE_OVERHEAD_FACTOR</t>
  </si>
  <si>
    <t xml:space="preserve">6. Per Shard (GB)</t>
  </si>
  <si>
    <t xml:space="preserve">ROUNDUP((Total / REDIS_SHARDS) * REDIS_HEADROOM, 0)</t>
  </si>
  <si>
    <t xml:space="preserve">7. Total Cluster (GB)</t>
  </si>
  <si>
    <t xml:space="preserve">Per Shard * Shards</t>
  </si>
  <si>
    <t xml:space="preserve">B. OPS</t>
  </si>
  <si>
    <t xml:space="preserve">8. Cache Ops/s</t>
  </si>
  <si>
    <t xml:space="preserve">9. Cache Hit Ops</t>
  </si>
  <si>
    <t xml:space="preserve">Ops * CACHE_HIT_PCT/100</t>
  </si>
  <si>
    <t xml:space="preserve">10. Required Nodes</t>
  </si>
  <si>
    <t xml:space="preserve">MAX(3, ROUNDUP(Ops / REDIS_OPS_PER_NODE, 0))</t>
  </si>
  <si>
    <t xml:space="preserve">C. CONFIG (info)</t>
  </si>
  <si>
    <t xml:space="preserve">- Eviction: allkeys-lru (product catalog) / volatile-ttl (sessions)</t>
  </si>
  <si>
    <t xml:space="preserve">- Persistence: AOF everysec</t>
  </si>
  <si>
    <t xml:space="preserve">- Cluster mode: 3 shards x 1 replica each</t>
  </si>
  <si>
    <t xml:space="preserve">- Failover: Sentinel, target &lt;10s promotion</t>
  </si>
  <si>
    <t xml:space="preserve">🎤 INTERVIEW TALK TRACK:  Sessions, full catalog and hot SKUs together need under 10GB before overhead -- small enough that 3 shards with 1.5x headroom comfortably fit on cache.r6g.xlarge nodes. At 95% hit rate we're serving roughly 20k ops/sec from cache, well inside one node's 100k ops/sec ceiling; the 3-node minimum is purely for HA.</t>
  </si>
  <si>
    <t xml:space="preserve">11 - DLQ, Error Topics &amp; Reprocess Logic</t>
  </si>
  <si>
    <t xml:space="preserve">A. RETRY &amp; BACKOFF</t>
  </si>
  <si>
    <t xml:space="preserve">1. Retry Tier 1 delay (s)</t>
  </si>
  <si>
    <t xml:space="preserve">2. Retry Tier 2 delay (s)</t>
  </si>
  <si>
    <t xml:space="preserve">Base * Multiplier</t>
  </si>
  <si>
    <t xml:space="preserve">3. Retry Tier 3 delay (s)</t>
  </si>
  <si>
    <t xml:space="preserve">Base * Multiplier^2</t>
  </si>
  <si>
    <t xml:space="preserve">4. Retry Tier 4 delay (s)</t>
  </si>
  <si>
    <t xml:space="preserve">Base * Multiplier^3</t>
  </si>
  <si>
    <t xml:space="preserve">5. Total Retry Time (s)</t>
  </si>
  <si>
    <t xml:space="preserve">SUM of tiers 1-4</t>
  </si>
  <si>
    <t xml:space="preserve">6. Failure Rate Reaching DLQ (%)</t>
  </si>
  <si>
    <t xml:space="preserve">1 - (0.99^Max_Retries) * 100  [99% per-attempt success]</t>
  </si>
  <si>
    <t xml:space="preserve">7. DLQ Messages/day</t>
  </si>
  <si>
    <t xml:space="preserve">Daily Messages(=Daily_Requests) * Failure_Rate%</t>
  </si>
  <si>
    <t xml:space="preserve">B. TOPIC TOPOLOGY (info)</t>
  </si>
  <si>
    <t xml:space="preserve">order.events -&gt; [consumer fails] -&gt; order.retry.5s -&gt; [fails] -&gt; order.retry.30s -&gt; [fails] -&gt; order.retry.5m -&gt; [fails] -&gt; order.dlq</t>
  </si>
  <si>
    <t xml:space="preserve">C. DLQ MESSAGE SCHEMA (info)</t>
  </si>
  <si>
    <t xml:space="preserve">{</t>
  </si>
  <si>
    <t xml:space="preserve">  "originalTopic": "order.events",</t>
  </si>
  <si>
    <t xml:space="preserve">  "originalPartition": 7,</t>
  </si>
  <si>
    <t xml:space="preserve">  "originalOffset": 1234567,</t>
  </si>
  <si>
    <t xml:space="preserve">  "originalMessage": {...},</t>
  </si>
  <si>
    <t xml:space="preserve">  "errorType": "INVENTORY_SERVICE_TIMEOUT",</t>
  </si>
  <si>
    <t xml:space="preserve">  "errorMessage": "...",</t>
  </si>
  <si>
    <t xml:space="preserve">  "attemptCount": 4,</t>
  </si>
  <si>
    <t xml:space="preserve">  "firstAttemptAt": "2026-09-10T10:00:00Z",</t>
  </si>
  <si>
    <t xml:space="preserve">  "lastAttemptAt": "2026-09-10T10:01:15Z",</t>
  </si>
  <si>
    <t xml:space="preserve">  "consumerGroup": "inventory-processor",</t>
  </si>
  <si>
    <t xml:space="preserve">  "reprocessable": true</t>
  </si>
  <si>
    <t xml:space="preserve">}</t>
  </si>
  <si>
    <t xml:space="preserve">D. REPROCESS LOGIC</t>
  </si>
  <si>
    <t xml:space="preserve">8. Reprocess Batch Size</t>
  </si>
  <si>
    <t xml:space="preserve">9. Reprocess Workers</t>
  </si>
  <si>
    <t xml:space="preserve">10. Reprocess Throughput (msgs/min)</t>
  </si>
  <si>
    <t xml:space="preserve">Batch * Workers / Interval</t>
  </si>
  <si>
    <t xml:space="preserve">11. Full DLQ Drain Time (hours)</t>
  </si>
  <si>
    <t xml:space="preserve">DLQ Messages/day / Throughput / 60</t>
  </si>
  <si>
    <t xml:space="preserve">12. Manual Approval Threshold</t>
  </si>
  <si>
    <t xml:space="preserve">&gt;100 msgs requires on-call sign-off</t>
  </si>
  <si>
    <t xml:space="preserve">E. CONSUMER SIDE (info)</t>
  </si>
  <si>
    <t xml:space="preserve">- enable.auto.commit=false; manual offset commit AFTER successful processing</t>
  </si>
  <si>
    <t xml:space="preserve">- On failure: publish to retry topic, do not advance main-topic offset</t>
  </si>
  <si>
    <t xml:space="preserve">- Poison-pill detection: same error 3x in a row -&gt; auto-route to DLQ</t>
  </si>
  <si>
    <t xml:space="preserve">F. MONITORING (info)</t>
  </si>
  <si>
    <t xml:space="preserve">- DLQ depth: alert &gt; 100</t>
  </si>
  <si>
    <t xml:space="preserve">- Retry-topic depth: alert &gt; 1,000</t>
  </si>
  <si>
    <t xml:space="preserve">- Consumer lag: alert &gt; 10,000</t>
  </si>
  <si>
    <t xml:space="preserve">- Error rate by type: dashboard panel</t>
  </si>
  <si>
    <t xml:space="preserve">🎤 INTERVIEW TALK TRACK:  We use tiered retries -- 5s, 10s, 20s, 40s -- before a message hits the DLQ. With a 99% per-attempt success rate, well under 1% of messages ever reach DLQ. On-call reprocesses in 1,000-message batches every 15 minutes, and every DLQ message carries the original offset, partition and stack trace so replay is safe and traceable.</t>
  </si>
  <si>
    <t xml:space="preserve">12 - Traffic Spikes &amp; DDoS</t>
  </si>
  <si>
    <t xml:space="preserve">A. SPIKE SCENARIOS</t>
  </si>
  <si>
    <t xml:space="preserve">Scenario</t>
  </si>
  <si>
    <t xml:space="preserve">Multiplier</t>
  </si>
  <si>
    <t xml:space="preserve">Peak RPS</t>
  </si>
  <si>
    <t xml:space="preserve">Duration</t>
  </si>
  <si>
    <t xml:space="preserve">Trigger</t>
  </si>
  <si>
    <t xml:space="preserve">24h</t>
  </si>
  <si>
    <t xml:space="preserve">baseline</t>
  </si>
  <si>
    <t xml:space="preserve">Flash Sale</t>
  </si>
  <si>
    <t xml:space="preserve">1h</t>
  </si>
  <si>
    <t xml:space="preserve">scheduled promo</t>
  </si>
  <si>
    <t xml:space="preserve">Black Friday</t>
  </si>
  <si>
    <t xml:space="preserve">6h</t>
  </si>
  <si>
    <t xml:space="preserve">annual</t>
  </si>
  <si>
    <t xml:space="preserve">Cyber Monday</t>
  </si>
  <si>
    <t xml:space="preserve">8h</t>
  </si>
  <si>
    <t xml:space="preserve">Product-Hunt effect</t>
  </si>
  <si>
    <t xml:space="preserve">2h</t>
  </si>
  <si>
    <t xml:space="preserve">virality</t>
  </si>
  <si>
    <t xml:space="preserve">DDoS</t>
  </si>
  <si>
    <t xml:space="preserve">burst</t>
  </si>
  <si>
    <t xml:space="preserve">malicious</t>
  </si>
  <si>
    <t xml:space="preserve">B. AUTO-SCALING MATH (Black Friday example)</t>
  </si>
  <si>
    <t xml:space="preserve">1. Target Instance Count</t>
  </si>
  <si>
    <t xml:space="preserve">ROUNDUP(Spike RPS / RPS_Per_App_Instance, 0)</t>
  </si>
  <si>
    <t xml:space="preserve">Uses live Spike_Multiplier from scenario</t>
  </si>
  <si>
    <t xml:space="preserve">2. Scale-Up Time (s)</t>
  </si>
  <si>
    <t xml:space="preserve">Cooldown + Provision(90) + Warmup(30)</t>
  </si>
  <si>
    <t xml:space="preserve">3. Requests During Scale-Up</t>
  </si>
  <si>
    <t xml:space="preserve">Spike RPS * Scale-Up Time</t>
  </si>
  <si>
    <t xml:space="preserve">Must be absorbed by pre-scaled buffer</t>
  </si>
  <si>
    <t xml:space="preserve">4. Required Pre-Scale Instances</t>
  </si>
  <si>
    <t xml:space="preserve">Provision ahead of known events (Black Friday, flash sales)</t>
  </si>
  <si>
    <t xml:space="preserve">5. HPA min pods</t>
  </si>
  <si>
    <t xml:space="preserve">6. HPA max pods</t>
  </si>
  <si>
    <t xml:space="preserve">7. HPA target CPU %</t>
  </si>
  <si>
    <t xml:space="preserve">C. LOAD SHEDDING</t>
  </si>
  <si>
    <t xml:space="preserve">8. Shed Threshold RPS</t>
  </si>
  <si>
    <t xml:space="preserve">Total_RPS_Capacity * Load_Shed_Threshold_Pct/100</t>
  </si>
  <si>
    <t xml:space="preserve">Priority</t>
  </si>
  <si>
    <t xml:space="preserve">Sheds at</t>
  </si>
  <si>
    <t xml:space="preserve">Services</t>
  </si>
  <si>
    <t xml:space="preserve">P1 - NEVER shed</t>
  </si>
  <si>
    <t xml:space="preserve">n/a</t>
  </si>
  <si>
    <t xml:space="preserve">Payment, Order creation</t>
  </si>
  <si>
    <t xml:space="preserve">P2 - shed last</t>
  </si>
  <si>
    <t xml:space="preserve">95% capacity</t>
  </si>
  <si>
    <t xml:space="preserve">Cart, Checkout</t>
  </si>
  <si>
    <t xml:space="preserve">P3</t>
  </si>
  <si>
    <t xml:space="preserve">80% capacity</t>
  </si>
  <si>
    <t xml:space="preserve">Search, Recommendations</t>
  </si>
  <si>
    <t xml:space="preserve">P4</t>
  </si>
  <si>
    <t xml:space="preserve">70% capacity</t>
  </si>
  <si>
    <t xml:space="preserve">Reviews, Ratings</t>
  </si>
  <si>
    <t xml:space="preserve">P5 - shed first</t>
  </si>
  <si>
    <t xml:space="preserve">60% capacity</t>
  </si>
  <si>
    <t xml:space="preserve">Analytics, Personalization</t>
  </si>
  <si>
    <t xml:space="preserve">D. DDOS MITIGATION LAYERS (info)</t>
  </si>
  <si>
    <t xml:space="preserve">- L1: CloudFront/Cloudflare edge scrubbing (100+ Tbps absorption capacity)</t>
  </si>
  <si>
    <t xml:space="preserve">- L2: WAF rules (SQLi, XSS, bad-bot, rate-based)</t>
  </si>
  <si>
    <t xml:space="preserve">- L3: NLB with SYN-flood protection</t>
  </si>
  <si>
    <t xml:space="preserve">- L4: API Gateway rate limiting (Redis token bucket)</t>
  </si>
  <si>
    <t xml:space="preserve">- L5: Service-mesh circuit breakers per backend</t>
  </si>
  <si>
    <t xml:space="preserve">- L6: Backend bulkhead (max concurrent per service)</t>
  </si>
  <si>
    <t xml:space="preserve">- L7: DB connection-pool limits (fail fast, don't queue)</t>
  </si>
  <si>
    <t xml:space="preserve">E. CHAOS ENGINEERING (info)</t>
  </si>
  <si>
    <t xml:space="preserve">- Weekly game days</t>
  </si>
  <si>
    <t xml:space="preserve">- Kill a broker -&gt; verify RF failover</t>
  </si>
  <si>
    <t xml:space="preserve">- Kill a Redis shard -&gt; verify Sentinel promotion</t>
  </si>
  <si>
    <t xml:space="preserve">- Inject 500ms latency -&gt; verify timeouts fire</t>
  </si>
  <si>
    <t xml:space="preserve">- Saturate DB connections -&gt; verify pool rejection, not hang</t>
  </si>
  <si>
    <t xml:space="preserve">🎤 INTERVIEW TALK TRACK:  We handle Black Friday's 10x with pre-scaled HPA -- min 6, max 60 pods -- and priority-based load shedding where payment never sheds and analytics sheds first. Under an actual DDoS, CloudFront and the WAF absorb the bulk of it at the edge, long before traffic reaches our gateway.</t>
  </si>
  <si>
    <t xml:space="preserve">13 - Observability</t>
  </si>
  <si>
    <t xml:space="preserve">1. Metrics Data Points/day</t>
  </si>
  <si>
    <t xml:space="preserve">Peak RPS * 100 metrics/req * 86400</t>
  </si>
  <si>
    <t xml:space="preserve">2. Metrics Storage (GB)</t>
  </si>
  <si>
    <t xml:space="preserve">Points * 8 bytes / 1024^3</t>
  </si>
  <si>
    <t xml:space="preserve">3. Logs (GB/day)</t>
  </si>
  <si>
    <t xml:space="preserve">Daily Requests * Log_Size_Per_Request_KB / 1024 / 1024</t>
  </si>
  <si>
    <t xml:space="preserve">4. Logs Storage (GB, 30d retention)</t>
  </si>
  <si>
    <t xml:space="preserve">Logs/day * Log_Retention_Days</t>
  </si>
  <si>
    <t xml:space="preserve">5. Traces (GB/day)</t>
  </si>
  <si>
    <t xml:space="preserve">Daily Requests * Trace_Sample_Rate_Pct/100 * 5KB / 1024 / 1024</t>
  </si>
  <si>
    <t xml:space="preserve">6. Trace Storage (GB, 7d retention)</t>
  </si>
  <si>
    <t xml:space="preserve">Traces/day * 7</t>
  </si>
  <si>
    <t xml:space="preserve">7. Cardinality Alert</t>
  </si>
  <si>
    <t xml:space="preserve">IF(unique_labels &gt; 100k, "DANGER", "OK") -- manual check</t>
  </si>
  <si>
    <t xml:space="preserve">High-cardinality labels (user_id, order_id) blow up Prometheus</t>
  </si>
  <si>
    <t xml:space="preserve">STACK (info)</t>
  </si>
  <si>
    <t xml:space="preserve">Layer</t>
  </si>
  <si>
    <t xml:space="preserve">Tool</t>
  </si>
  <si>
    <t xml:space="preserve">Metrics</t>
  </si>
  <si>
    <t xml:space="preserve">Prometheus + Thanos (long-term) + Grafana</t>
  </si>
  <si>
    <t xml:space="preserve">Logs</t>
  </si>
  <si>
    <t xml:space="preserve">Loki, or ELK (Elasticsearch+Logstash+Kibana)</t>
  </si>
  <si>
    <t xml:space="preserve">Traces</t>
  </si>
  <si>
    <t xml:space="preserve">Jaeger or Tempo + OpenTelemetry SDK</t>
  </si>
  <si>
    <t xml:space="preserve">APM (optional)</t>
  </si>
  <si>
    <t xml:space="preserve">Datadog or New Relic</t>
  </si>
  <si>
    <t xml:space="preserve">Alerts</t>
  </si>
  <si>
    <t xml:space="preserve">AlertManager -&gt; PagerDuty</t>
  </si>
  <si>
    <t xml:space="preserve">SLO TABLE</t>
  </si>
  <si>
    <t xml:space="preserve">SLI</t>
  </si>
  <si>
    <t xml:space="preserve">Target</t>
  </si>
  <si>
    <t xml:space="preserve">Error Budget</t>
  </si>
  <si>
    <t xml:space="preserve">Alerting Threshold</t>
  </si>
  <si>
    <t xml:space="preserve">Availability</t>
  </si>
  <si>
    <t xml:space="preserve">99.95%</t>
  </si>
  <si>
    <t xml:space="preserve">21.6 min/month</t>
  </si>
  <si>
    <t xml:space="preserve">Fast burn: 14.4x budget in 1h</t>
  </si>
  <si>
    <t xml:space="preserve">Latency P95</t>
  </si>
  <si>
    <t xml:space="preserve">&lt;200ms</t>
  </si>
  <si>
    <t xml:space="preserve">5% of requests may exceed</t>
  </si>
  <si>
    <t xml:space="preserve">&gt;250ms sustained 5 min</t>
  </si>
  <si>
    <t xml:space="preserve">Error Rate</t>
  </si>
  <si>
    <t xml:space="preserve">&lt;0.1%</t>
  </si>
  <si>
    <t xml:space="preserve">1 in 1000 requests</t>
  </si>
  <si>
    <t xml:space="preserve">&gt;1% sustained 2 min</t>
  </si>
  <si>
    <t xml:space="preserve">Kafka Consumer Lag</t>
  </si>
  <si>
    <t xml:space="preserve">&lt;10,000</t>
  </si>
  <si>
    <t xml:space="preserve">&gt;50,000 sustained 10 min</t>
  </si>
  <si>
    <t xml:space="preserve">🎤 INTERVIEW TALK TRACK:  At 1% trace sampling and 100 metrics per request, our observability footprint stays small -- single-digit GB per day for traces, tens of GB for logs. The SLO that actually drives paging decisions is the P95-latency fast-burn alert: if we're burning 14.4x our monthly error budget in an hour, on-call gets paged immediately.</t>
  </si>
  <si>
    <t xml:space="preserve">14 - Cloud Provider Mapping</t>
  </si>
  <si>
    <t xml:space="preserve">Component</t>
  </si>
  <si>
    <t xml:space="preserve">AWS</t>
  </si>
  <si>
    <t xml:space="preserve">GCP</t>
  </si>
  <si>
    <t xml:space="preserve">Azure</t>
  </si>
  <si>
    <t xml:space="preserve">Self-Hosted / VPS</t>
  </si>
  <si>
    <t xml:space="preserve">DNS</t>
  </si>
  <si>
    <t xml:space="preserve">Route53</t>
  </si>
  <si>
    <t xml:space="preserve">Cloud DNS</t>
  </si>
  <si>
    <t xml:space="preserve">Azure DNS</t>
  </si>
  <si>
    <t xml:space="preserve">BIND / PowerDNS</t>
  </si>
  <si>
    <t xml:space="preserve">CDN</t>
  </si>
  <si>
    <t xml:space="preserve">CloudFront</t>
  </si>
  <si>
    <t xml:space="preserve">Cloud CDN</t>
  </si>
  <si>
    <t xml:space="preserve">Azure CDN</t>
  </si>
  <si>
    <t xml:space="preserve">Cloudflare (free tier)</t>
  </si>
  <si>
    <t xml:space="preserve">WAF</t>
  </si>
  <si>
    <t xml:space="preserve">AWS WAF</t>
  </si>
  <si>
    <t xml:space="preserve">Cloud Armor</t>
  </si>
  <si>
    <t xml:space="preserve">Azure WAF</t>
  </si>
  <si>
    <t xml:space="preserve">ModSecurity + Nginx</t>
  </si>
  <si>
    <t xml:space="preserve">Load Balancer L4</t>
  </si>
  <si>
    <t xml:space="preserve">NLB</t>
  </si>
  <si>
    <t xml:space="preserve">TCP Proxy LB</t>
  </si>
  <si>
    <t xml:space="preserve">Azure LB</t>
  </si>
  <si>
    <t xml:space="preserve">HAProxy / Nginx</t>
  </si>
  <si>
    <t xml:space="preserve">Load Balancer L7</t>
  </si>
  <si>
    <t xml:space="preserve">ALB</t>
  </si>
  <si>
    <t xml:space="preserve">HTTP(S) LB</t>
  </si>
  <si>
    <t xml:space="preserve">App Gateway</t>
  </si>
  <si>
    <t xml:space="preserve">Traefik / Envoy</t>
  </si>
  <si>
    <t xml:space="preserve">API Management</t>
  </si>
  <si>
    <t xml:space="preserve">Kong / KrakenD</t>
  </si>
  <si>
    <t xml:space="preserve">Container Orchestration</t>
  </si>
  <si>
    <t xml:space="preserve">EKS</t>
  </si>
  <si>
    <t xml:space="preserve">GKE</t>
  </si>
  <si>
    <t xml:space="preserve">AKS</t>
  </si>
  <si>
    <t xml:space="preserve">K3s / kubeadm</t>
  </si>
  <si>
    <t xml:space="preserve">Service Mesh</t>
  </si>
  <si>
    <t xml:space="preserve">App Mesh</t>
  </si>
  <si>
    <t xml:space="preserve">Anthos Service Mesh</t>
  </si>
  <si>
    <t xml:space="preserve">Open Service Mesh</t>
  </si>
  <si>
    <t xml:space="preserve">Istio / Linkerd</t>
  </si>
  <si>
    <t xml:space="preserve">Message Queue</t>
  </si>
  <si>
    <t xml:space="preserve">MSK (Kafka)</t>
  </si>
  <si>
    <t xml:space="preserve">Pub/Sub or Confluent</t>
  </si>
  <si>
    <t xml:space="preserve">Event Hubs</t>
  </si>
  <si>
    <t xml:space="preserve">Kafka on VMs</t>
  </si>
  <si>
    <t xml:space="preserve">Database OLTP</t>
  </si>
  <si>
    <t xml:space="preserve">RDS / Aurora PG</t>
  </si>
  <si>
    <t xml:space="preserve">Cloud SQL</t>
  </si>
  <si>
    <t xml:space="preserve">Azure Database</t>
  </si>
  <si>
    <t xml:space="preserve">PostgreSQL on VM</t>
  </si>
  <si>
    <t xml:space="preserve">Database NoSQL</t>
  </si>
  <si>
    <t xml:space="preserve">DynamoDB</t>
  </si>
  <si>
    <t xml:space="preserve">Firestore</t>
  </si>
  <si>
    <t xml:space="preserve">Cosmos DB</t>
  </si>
  <si>
    <t xml:space="preserve">Cassandra / MongoDB</t>
  </si>
  <si>
    <t xml:space="preserve">Cache</t>
  </si>
  <si>
    <t xml:space="preserve">ElastiCache Redis</t>
  </si>
  <si>
    <t xml:space="preserve">Memorystore</t>
  </si>
  <si>
    <t xml:space="preserve">Azure Cache for Redis</t>
  </si>
  <si>
    <t xml:space="preserve">Redis on VM</t>
  </si>
  <si>
    <t xml:space="preserve">Object Storage</t>
  </si>
  <si>
    <t xml:space="preserve">S3</t>
  </si>
  <si>
    <t xml:space="preserve">Cloud Storage</t>
  </si>
  <si>
    <t xml:space="preserve">Blob Storage</t>
  </si>
  <si>
    <t xml:space="preserve">MinIO / Ceph</t>
  </si>
  <si>
    <t xml:space="preserve">Search</t>
  </si>
  <si>
    <t xml:space="preserve">OpenSearch</t>
  </si>
  <si>
    <t xml:space="preserve">Elastic Cloud</t>
  </si>
  <si>
    <t xml:space="preserve">Azure Cognitive Search</t>
  </si>
  <si>
    <t xml:space="preserve">Elasticsearch</t>
  </si>
  <si>
    <t xml:space="preserve">Monitoring</t>
  </si>
  <si>
    <t xml:space="preserve">CloudWatch</t>
  </si>
  <si>
    <t xml:space="preserve">Cloud Ops (Monitoring)</t>
  </si>
  <si>
    <t xml:space="preserve">Azure Monitor</t>
  </si>
  <si>
    <t xml:space="preserve">Prometheus + Grafana</t>
  </si>
  <si>
    <t xml:space="preserve">Logging</t>
  </si>
  <si>
    <t xml:space="preserve">CloudWatch Logs</t>
  </si>
  <si>
    <t xml:space="preserve">Cloud Logging</t>
  </si>
  <si>
    <t xml:space="preserve">Log Analytics</t>
  </si>
  <si>
    <t xml:space="preserve">Loki / ELK</t>
  </si>
  <si>
    <t xml:space="preserve">Tracing</t>
  </si>
  <si>
    <t xml:space="preserve">X-Ray</t>
  </si>
  <si>
    <t xml:space="preserve">Cloud Trace</t>
  </si>
  <si>
    <t xml:space="preserve">App Insights</t>
  </si>
  <si>
    <t xml:space="preserve">Jaeger</t>
  </si>
  <si>
    <t xml:space="preserve">Secrets</t>
  </si>
  <si>
    <t xml:space="preserve">Secrets Manager</t>
  </si>
  <si>
    <t xml:space="preserve">Secret Manager</t>
  </si>
  <si>
    <t xml:space="preserve">Key Vault</t>
  </si>
  <si>
    <t xml:space="preserve">HashiCorp Vault</t>
  </si>
  <si>
    <t xml:space="preserve">CI/CD</t>
  </si>
  <si>
    <t xml:space="preserve">CodePipeline</t>
  </si>
  <si>
    <t xml:space="preserve">Cloud Build</t>
  </si>
  <si>
    <t xml:space="preserve">Azure DevOps</t>
  </si>
  <si>
    <t xml:space="preserve">GitLab CI / Jenkins</t>
  </si>
  <si>
    <t xml:space="preserve">Identity</t>
  </si>
  <si>
    <t xml:space="preserve">Cognito / IAM</t>
  </si>
  <si>
    <t xml:space="preserve">Identity Platform</t>
  </si>
  <si>
    <t xml:space="preserve">Entra ID</t>
  </si>
  <si>
    <t xml:space="preserve">Keycloak</t>
  </si>
  <si>
    <t xml:space="preserve">Serverless</t>
  </si>
  <si>
    <t xml:space="preserve">Lambda</t>
  </si>
  <si>
    <t xml:space="preserve">Cloud Functions</t>
  </si>
  <si>
    <t xml:space="preserve">Azure Functions</t>
  </si>
  <si>
    <t xml:space="preserve">OpenFaaS</t>
  </si>
  <si>
    <t xml:space="preserve">VPS Providers</t>
  </si>
  <si>
    <t xml:space="preserve">Lightsail</t>
  </si>
  <si>
    <t xml:space="preserve">Compute Engine</t>
  </si>
  <si>
    <t xml:space="preserve">Azure VM</t>
  </si>
  <si>
    <t xml:space="preserve">DigitalOcean / Linode / Hetzner</t>
  </si>
  <si>
    <t xml:space="preserve">Interview tip: default to AWS -- widest catalog, most interviewers know it. Switch to GCP only if they hint at BigQuery/Spanner, or Azure for enterprise/AD-heavy shops.</t>
  </si>
  <si>
    <t xml:space="preserve">15 - Cloud Infra Picker (Instance Cheat Sheet)</t>
  </si>
  <si>
    <t xml:space="preserve">Workload</t>
  </si>
  <si>
    <t xml:space="preserve">AWS Instance</t>
  </si>
  <si>
    <t xml:space="preserve">vCPU</t>
  </si>
  <si>
    <t xml:space="preserve">$/hr</t>
  </si>
  <si>
    <t xml:space="preserve">GCP Eq</t>
  </si>
  <si>
    <t xml:space="preserve">Azure Eq</t>
  </si>
  <si>
    <t xml:space="preserve">When to use</t>
  </si>
  <si>
    <t xml:space="preserve">Kafka Broker</t>
  </si>
  <si>
    <t xml:space="preserve">n2-standard-8</t>
  </si>
  <si>
    <t xml:space="preserve">Standard_D8s_v5</t>
  </si>
  <si>
    <t xml:space="preserve">Steady throughput</t>
  </si>
  <si>
    <t xml:space="preserve">Kafka Broker XL</t>
  </si>
  <si>
    <t xml:space="preserve">m6i.4xlarge</t>
  </si>
  <si>
    <t xml:space="preserve">n2-standard-16</t>
  </si>
  <si>
    <t xml:space="preserve">Standard_D16s_v5</t>
  </si>
  <si>
    <t xml:space="preserve">High throughput</t>
  </si>
  <si>
    <t xml:space="preserve">c2-standard-4</t>
  </si>
  <si>
    <t xml:space="preserve">Standard_F4s_v2</t>
  </si>
  <si>
    <t xml:space="preserve">CPU-bound</t>
  </si>
  <si>
    <t xml:space="preserve">App Service</t>
  </si>
  <si>
    <t xml:space="preserve">Compute-optimized</t>
  </si>
  <si>
    <t xml:space="preserve">App Service (mem)</t>
  </si>
  <si>
    <t xml:space="preserve">r6i.xlarge</t>
  </si>
  <si>
    <t xml:space="preserve">n2-highmem-4</t>
  </si>
  <si>
    <t xml:space="preserve">Standard_E4s_v5</t>
  </si>
  <si>
    <t xml:space="preserve">Cache-heavy</t>
  </si>
  <si>
    <t xml:space="preserve">Postgres Primary</t>
  </si>
  <si>
    <t xml:space="preserve">n2-highmem-8</t>
  </si>
  <si>
    <t xml:space="preserve">Standard_E8s_v5</t>
  </si>
  <si>
    <t xml:space="preserve">Memory-optimized</t>
  </si>
  <si>
    <t xml:space="preserve">Postgres Replica</t>
  </si>
  <si>
    <t xml:space="preserve">Read scale</t>
  </si>
  <si>
    <t xml:space="preserve">Memorystore Std</t>
  </si>
  <si>
    <t xml:space="preserve">Azure Cache P2</t>
  </si>
  <si>
    <t xml:space="preserve">Managed preferred</t>
  </si>
  <si>
    <t xml:space="preserve">r6g.2xlarge</t>
  </si>
  <si>
    <t xml:space="preserve">Bastion</t>
  </si>
  <si>
    <t xml:space="preserve">t3.micro</t>
  </si>
  <si>
    <t xml:space="preserve">e2-micro</t>
  </si>
  <si>
    <t xml:space="preserve">Standard_B1s</t>
  </si>
  <si>
    <t xml:space="preserve">SSH only</t>
  </si>
  <si>
    <t xml:space="preserve">Auto-scale groups -- App: min=6 max=60, CPU&gt;70% for 3min. Gateway: min=3 max=30, RPS&gt;2400/instance. Kafka: manual scale only (stateful, handle with care).</t>
  </si>
  <si>
    <t xml:space="preserve">16 - Cost Estimator (Monthly / Annual, USD)</t>
  </si>
  <si>
    <t xml:space="preserve">Resource</t>
  </si>
  <si>
    <t xml:space="preserve">Count</t>
  </si>
  <si>
    <t xml:space="preserve">Hours</t>
  </si>
  <si>
    <t xml:space="preserve">Monthly</t>
  </si>
  <si>
    <t xml:space="preserve">Annual</t>
  </si>
  <si>
    <t xml:space="preserve">Kafka Brokers</t>
  </si>
  <si>
    <t xml:space="preserve">KRaft Controllers</t>
  </si>
  <si>
    <t xml:space="preserve">3</t>
  </si>
  <si>
    <t xml:space="preserve">0.096</t>
  </si>
  <si>
    <t xml:space="preserve">App Servers (all services)</t>
  </si>
  <si>
    <t xml:space="preserve">NLB / ALB</t>
  </si>
  <si>
    <t xml:space="preserve">DB Primary</t>
  </si>
  <si>
    <t xml:space="preserve">1</t>
  </si>
  <si>
    <t xml:space="preserve">DB Read Replicas</t>
  </si>
  <si>
    <t xml:space="preserve">Redis Cluster</t>
  </si>
  <si>
    <t xml:space="preserve">NAT Gateway</t>
  </si>
  <si>
    <t xml:space="preserve">2</t>
  </si>
  <si>
    <t xml:space="preserve">0.045</t>
  </si>
  <si>
    <t xml:space="preserve">S3 (Backups + Assets)</t>
  </si>
  <si>
    <t xml:space="preserve">CloudFront / CDN Egress</t>
  </si>
  <si>
    <t xml:space="preserve">Monitoring (CloudWatch/Datadog)</t>
  </si>
  <si>
    <t xml:space="preserve">Route53 (hosted zone + queries)</t>
  </si>
  <si>
    <t xml:space="preserve">Load Testing (occasional, spot)</t>
  </si>
  <si>
    <t xml:space="preserve">GRAND TOTAL</t>
  </si>
  <si>
    <t xml:space="preserve">Cost per 1,000 DAU / month</t>
  </si>
  <si>
    <t xml:space="preserve">Total Monthly / (DAU/1000)</t>
  </si>
  <si>
    <t xml:space="preserve">Efficiency metric interviewers love</t>
  </si>
  <si>
    <t xml:space="preserve">COST OPTIMIZATION TIPS (info)</t>
  </si>
  <si>
    <t xml:space="preserve">- Reserved Instances (1yr): 30-40% savings on steady-state workloads</t>
  </si>
  <si>
    <t xml:space="preserve">- Savings Plans: 20-30% flexible commitment discount</t>
  </si>
  <si>
    <t xml:space="preserve">- Spot for stateless app servers: 60-70% savings (with PodDisruptionBudget)</t>
  </si>
  <si>
    <t xml:space="preserve">- S3 Intelligent-Tiering: ~30% savings on cold backup data</t>
  </si>
  <si>
    <t xml:space="preserve">- Right-size everything after 30 days of real observability data</t>
  </si>
  <si>
    <t xml:space="preserve">🎤 INTERVIEW TALK TRACK:  Our monthly infra lands in the low five figures, dominated by compute -- around 60% -- and data transfer at roughly 20%. We optimize with Reserved Instances for the steady-state baseline, Spot for burstable app servers, and aggressive CDN caching to keep egress down.</t>
  </si>
  <si>
    <t xml:space="preserve">17 - Final Summary Cheatsheet (One-Page Whiteboard Script)</t>
  </si>
  <si>
    <t xml:space="preserve">Value</t>
  </si>
  <si>
    <t xml:space="preserve">Unit</t>
  </si>
  <si>
    <t xml:space="preserve">Users</t>
  </si>
  <si>
    <t xml:space="preserve">users</t>
  </si>
  <si>
    <t xml:space="preserve">DAU</t>
  </si>
  <si>
    <t xml:space="preserve">Peak Concurrent</t>
  </si>
  <si>
    <t xml:space="preserve">Traffic</t>
  </si>
  <si>
    <t xml:space="preserve">Peak API RPS</t>
  </si>
  <si>
    <t xml:space="preserve">req/s</t>
  </si>
  <si>
    <t xml:space="preserve">Frontend</t>
  </si>
  <si>
    <t xml:space="preserve">CDN PoPs Used</t>
  </si>
  <si>
    <t xml:space="preserve">PoPs</t>
  </si>
  <si>
    <t xml:space="preserve">Origin Traffic</t>
  </si>
  <si>
    <t xml:space="preserve">GB/day</t>
  </si>
  <si>
    <t xml:space="preserve">Edge</t>
  </si>
  <si>
    <t xml:space="preserve">WAF Rules</t>
  </si>
  <si>
    <t xml:space="preserve">rules</t>
  </si>
  <si>
    <t xml:space="preserve">NLB Instances</t>
  </si>
  <si>
    <t xml:space="preserve">nodes</t>
  </si>
  <si>
    <t xml:space="preserve">Gateway</t>
  </si>
  <si>
    <t xml:space="preserve">API Gateway Pods</t>
  </si>
  <si>
    <t xml:space="preserve">pods</t>
  </si>
  <si>
    <t xml:space="preserve">Gateway Latency</t>
  </si>
  <si>
    <t xml:space="preserve">ms</t>
  </si>
  <si>
    <t xml:space="preserve">Rate Limit (user)</t>
  </si>
  <si>
    <t xml:space="preserve">req/min</t>
  </si>
  <si>
    <t xml:space="preserve">Total App Pods</t>
  </si>
  <si>
    <t xml:space="preserve">Total vCPU</t>
  </si>
  <si>
    <t xml:space="preserve">cores</t>
  </si>
  <si>
    <t xml:space="preserve">Total RAM</t>
  </si>
  <si>
    <t xml:space="preserve">GB</t>
  </si>
  <si>
    <t xml:space="preserve">Latency</t>
  </si>
  <si>
    <t xml:space="preserve">P95</t>
  </si>
  <si>
    <t xml:space="preserve">Kafka</t>
  </si>
  <si>
    <t xml:space="preserve">Brokers</t>
  </si>
  <si>
    <t xml:space="preserve">Partitions (adjusted)</t>
  </si>
  <si>
    <t xml:space="preserve">count</t>
  </si>
  <si>
    <t xml:space="preserve">Throughput</t>
  </si>
  <si>
    <t xml:space="preserve">MB/s</t>
  </si>
  <si>
    <t xml:space="preserve">Database</t>
  </si>
  <si>
    <t xml:space="preserve">DB QPS (post-cache)</t>
  </si>
  <si>
    <t xml:space="preserve">qps</t>
  </si>
  <si>
    <t xml:space="preserve">DB IOPS Required</t>
  </si>
  <si>
    <t xml:space="preserve">iops</t>
  </si>
  <si>
    <t xml:space="preserve">Read Replicas</t>
  </si>
  <si>
    <t xml:space="preserve">Redis Shards</t>
  </si>
  <si>
    <t xml:space="preserve">shards</t>
  </si>
  <si>
    <t xml:space="preserve">Redis Cluster Size</t>
  </si>
  <si>
    <t xml:space="preserve">DLQ</t>
  </si>
  <si>
    <t xml:space="preserve">Retry Tiers</t>
  </si>
  <si>
    <t xml:space="preserve">tiers</t>
  </si>
  <si>
    <t xml:space="preserve">Msgs -&gt; DLQ / day</t>
  </si>
  <si>
    <t xml:space="preserve">msgs</t>
  </si>
  <si>
    <t xml:space="preserve">Spike</t>
  </si>
  <si>
    <t xml:space="preserve">Load Shed Threshold</t>
  </si>
  <si>
    <t xml:space="preserve">%</t>
  </si>
  <si>
    <t xml:space="preserve">Observability</t>
  </si>
  <si>
    <t xml:space="preserve">Log Retention</t>
  </si>
  <si>
    <t xml:space="preserve">days</t>
  </si>
  <si>
    <t xml:space="preserve">Cost</t>
  </si>
  <si>
    <t xml:space="preserve">Monthly Infra</t>
  </si>
  <si>
    <t xml:space="preserve">USD</t>
  </si>
  <si>
    <t xml:space="preserve">Annual Infra</t>
  </si>
  <si>
    <t xml:space="preserve">WHITEBOARD SCRIPT (memorize this)</t>
  </si>
  <si>
    <t xml:space="preserve">10M MAU -&gt; 2M DAU -&gt; 400k concurrent -&gt; ~3.3k raw RPS -&gt; ~7k RPS with a 2x buffer. CDN absorbs 98% of static traffic. Gateway: ~9 pods, ~3.5ms overhead. Backend: ~20+ pods across 5 services plus gateway. Kafka: 6 brokers, 24 partitions, ~7MB/s producer throughput. Postgres: 64GB RAM, ~1,050 QPS after a 95% cache hit rate. Redis: 3 shards, single-digit GB. DLQ with a 3-tier exponential retry. Multi-AZ end to end. Total monthly infra in the low five figures.</t>
  </si>
  <si>
    <t xml:space="preserve">18 - Interview Practice (10 Scenarios)</t>
  </si>
  <si>
    <t xml:space="preserve">Question</t>
  </si>
  <si>
    <t xml:space="preserve">Expected Answer (gist)</t>
  </si>
  <si>
    <t xml:space="preserve">Key Formulas / Sheets Used</t>
  </si>
  <si>
    <t xml:space="preserve">Red Flags to Avoid</t>
  </si>
  <si>
    <t xml:space="preserve">Bonus Points</t>
  </si>
  <si>
    <t xml:space="preserve">Design an e-commerce checkout flow at 10M DAU</t>
  </si>
  <si>
    <t xml:space="preserve">Walk client-&gt;CDN-&gt;gateway-&gt;order svc-&gt;payment svc(idempotent)-&gt;Kafka outbox-&gt;inventory-&gt;confirmation. Anchor everything on Peak_RPS.</t>
  </si>
  <si>
    <t xml:space="preserve">02_User_Metrics, 06_Backend_Services, 07_Network_Latency</t>
  </si>
  <si>
    <t xml:space="preserve">Jumping straight to microservices without stating scale assumptions first</t>
  </si>
  <si>
    <t xml:space="preserve">Saga pattern for cross-service consistency; outbox pattern for exactly-once publish</t>
  </si>
  <si>
    <t xml:space="preserve">Add real-time order tracking</t>
  </si>
  <si>
    <t xml:space="preserve">WebSocket for live tracking, SSE for price updates; size concurrent connections off PCU.</t>
  </si>
  <si>
    <t xml:space="preserve">04_API_Gateway Section E (WS/SSE sizing)</t>
  </si>
  <si>
    <t xml:space="preserve">Polling instead of push at this scale</t>
  </si>
  <si>
    <t xml:space="preserve">Fan-out via Redis pub/sub or a dedicated notification service</t>
  </si>
  <si>
    <t xml:space="preserve">Handle Black Friday 10x traffic</t>
  </si>
  <si>
    <t xml:space="preserve">Pre-scale via HPA, priority-based load shedding, DDoS layers at the edge.</t>
  </si>
  <si>
    <t xml:space="preserve">12_Traffic_Spikes_DDoS</t>
  </si>
  <si>
    <t xml:space="preserve">Relying only on reactive autoscaling with no pre-warm</t>
  </si>
  <si>
    <t xml:space="preserve">Chaos-day rehearsal before the actual event</t>
  </si>
  <si>
    <t xml:space="preserve">Prevent double-charging on payment retries</t>
  </si>
  <si>
    <t xml:space="preserve">Idempotency keys on payment writes, idempotent producer + transactions on payment.transactions topic.</t>
  </si>
  <si>
    <t xml:space="preserve">08_Kafka_Design Section E, 09_Database_Design</t>
  </si>
  <si>
    <t xml:space="preserve">Relying on client-side retry dedup only</t>
  </si>
  <si>
    <t xml:space="preserve">Outbox table + CDC instead of dual-write</t>
  </si>
  <si>
    <t xml:space="preserve">Diagnose a Kafka consumer lag of 100k</t>
  </si>
  <si>
    <t xml:space="preserve">Check partition count vs consumer count, slow downstream calls, GC pauses, rebalance storms.</t>
  </si>
  <si>
    <t xml:space="preserve">08_Kafka_Design, 13_Observability SLO table</t>
  </si>
  <si>
    <t xml:space="preserve">Blaming Kafka itself before checking consumer-side logic</t>
  </si>
  <si>
    <t xml:space="preserve">CooperativeStickyAssignor to avoid rebalance storms</t>
  </si>
  <si>
    <t xml:space="preserve">Design DLQ + replay for a bad deploy</t>
  </si>
  <si>
    <t xml:space="preserve">Tiered retry -&gt; DLQ, schema preserves offset/partition, batch reprocessing with manual approval.</t>
  </si>
  <si>
    <t xml:space="preserve">11_DLQ_Error_Handling</t>
  </si>
  <si>
    <t xml:space="preserve">No poison-pill detection -&gt; infinite retry loop</t>
  </si>
  <si>
    <t xml:space="preserve">Shadow-replay against a canary before full reprocess</t>
  </si>
  <si>
    <t xml:space="preserve">Add multi-region active-active</t>
  </si>
  <si>
    <t xml:space="preserve">Regional Kafka clusters + MirrorMaker2 or geo-replicated cache; conflict resolution via CRDTs or last-write-wins with vector clocks.</t>
  </si>
  <si>
    <t xml:space="preserve">08_Kafka_Design, 10_Cache_Redis</t>
  </si>
  <si>
    <t xml:space="preserve">Assuming synchronous cross-region replication is 'free'</t>
  </si>
  <si>
    <t xml:space="preserve">CRDTs for cart state; regional read affinity</t>
  </si>
  <si>
    <t xml:space="preserve">Reduce P95 latency from 500ms to 150ms</t>
  </si>
  <si>
    <t xml:space="preserve">Walk the hop-by-hop budget, find the biggest single contributor (usually uncached DB path), fix cache hit rate or add read replica.</t>
  </si>
  <si>
    <t xml:space="preserve">07_Network_Latency</t>
  </si>
  <si>
    <t xml:space="preserve">Guessing without walking the latency budget first</t>
  </si>
  <si>
    <t xml:space="preserve">Tail-latency-aware load balancing (choice of 2)</t>
  </si>
  <si>
    <t xml:space="preserve">Cut infra cost by 40% without SLA impact</t>
  </si>
  <si>
    <t xml:space="preserve">Reserved Instances on steady baseline, Spot for burstable app tier, right-size after observability data, S3 tiering.</t>
  </si>
  <si>
    <t xml:space="preserve">16_Cost_Estimator</t>
  </si>
  <si>
    <t xml:space="preserve">Cutting redundancy (replicas, multi-AZ) to save cost</t>
  </si>
  <si>
    <t xml:space="preserve">Cost-per-1000-DAU as the north-star efficiency metric</t>
  </si>
  <si>
    <t xml:space="preserve">Migrate from ZooKeeper to KRaft with zero downtime</t>
  </si>
  <si>
    <t xml:space="preserve">Dual-write metadata during migration, roll controllers first, then brokers, validate quorum before cutover.</t>
  </si>
  <si>
    <t xml:space="preserve">08_Kafka_Design Section D</t>
  </si>
  <si>
    <t xml:space="preserve">Big-bang cutover with no rollback plan</t>
  </si>
  <si>
    <t xml:space="preserve">KIP-866 migration mode awareness</t>
  </si>
</sst>
</file>

<file path=xl/styles.xml><?xml version="1.0" encoding="utf-8"?>
<styleSheet xmlns="http://schemas.openxmlformats.org/spreadsheetml/2006/main">
  <numFmts count="8">
    <numFmt numFmtId="164" formatCode="General"/>
    <numFmt numFmtId="165" formatCode="#,##0.####"/>
    <numFmt numFmtId="166" formatCode="General"/>
    <numFmt numFmtId="167" formatCode="#,##0.00"/>
    <numFmt numFmtId="168" formatCode="0.0%"/>
    <numFmt numFmtId="169" formatCode="\$0.0000"/>
    <numFmt numFmtId="170" formatCode="\$#,##0"/>
    <numFmt numFmtId="171" formatCode="#,##0.##"/>
  </numFmts>
  <fonts count="16">
    <font>
      <sz val="11"/>
      <color theme="1"/>
      <name val="Calibri"/>
      <family val="2"/>
      <charset val="1"/>
    </font>
    <font>
      <sz val="10"/>
      <name val="Arial"/>
      <family val="0"/>
    </font>
    <font>
      <sz val="10"/>
      <name val="Arial"/>
      <family val="0"/>
    </font>
    <font>
      <sz val="10"/>
      <name val="Arial"/>
      <family val="0"/>
    </font>
    <font>
      <b val="true"/>
      <sz val="16"/>
      <color rgb="FF2C3E5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2"/>
      <name val="Arial"/>
      <family val="0"/>
      <charset val="1"/>
    </font>
    <font>
      <i val="true"/>
      <sz val="9"/>
      <color rgb="FF555555"/>
      <name val="Arial"/>
      <family val="0"/>
      <charset val="1"/>
    </font>
    <font>
      <sz val="9"/>
      <name val="Consolas"/>
      <family val="0"/>
      <charset val="1"/>
    </font>
    <font>
      <i val="true"/>
      <sz val="10"/>
      <color rgb="FF1B4F72"/>
      <name val="Arial"/>
      <family val="0"/>
      <charset val="1"/>
    </font>
    <font>
      <b val="true"/>
      <sz val="12"/>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4A6FA5"/>
        <bgColor rgb="FF416A9C"/>
      </patternFill>
    </fill>
    <fill>
      <patternFill patternType="solid">
        <fgColor rgb="FFFFF3CD"/>
        <bgColor rgb="FFEAF2F8"/>
      </patternFill>
    </fill>
    <fill>
      <patternFill patternType="solid">
        <fgColor rgb="FFD1ECF1"/>
        <bgColor rgb="FFD4EDDA"/>
      </patternFill>
    </fill>
    <fill>
      <patternFill patternType="solid">
        <fgColor rgb="FFD4EDDA"/>
        <bgColor rgb="FFD1ECF1"/>
      </patternFill>
    </fill>
    <fill>
      <patternFill patternType="solid">
        <fgColor rgb="FFF8D7DA"/>
        <bgColor rgb="FFE2D9F3"/>
      </patternFill>
    </fill>
    <fill>
      <patternFill patternType="solid">
        <fgColor rgb="FFE2D9F3"/>
        <bgColor rgb="FFD9D9D9"/>
      </patternFill>
    </fill>
    <fill>
      <patternFill patternType="solid">
        <fgColor rgb="FFEAF2F8"/>
        <bgColor rgb="FFD1ECF1"/>
      </patternFill>
    </fill>
    <fill>
      <patternFill patternType="solid">
        <fgColor rgb="FF2C3E50"/>
        <bgColor rgb="FF1B4F7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6" fillId="5" borderId="1" xfId="0" applyFont="true" applyBorder="true" applyAlignment="true" applyProtection="false">
      <alignment horizontal="general" vertical="center" textRotation="0" wrapText="false" indent="0" shrinkToFit="false"/>
      <protection locked="true" hidden="false"/>
    </xf>
    <xf numFmtId="167" fontId="6" fillId="5"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6" fillId="4" borderId="1" xfId="0" applyFont="true" applyBorder="true" applyAlignment="true" applyProtection="false">
      <alignment horizontal="general" vertical="center" textRotation="0" wrapText="false" indent="0" shrinkToFit="false"/>
      <protection locked="true" hidden="false"/>
    </xf>
    <xf numFmtId="167" fontId="6" fillId="4" borderId="1" xfId="0" applyFont="true" applyBorder="true" applyAlignment="true" applyProtection="false">
      <alignment horizontal="general" vertical="center" textRotation="0" wrapText="false" indent="0" shrinkToFit="false"/>
      <protection locked="true" hidden="false"/>
    </xf>
    <xf numFmtId="164" fontId="11" fillId="8"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general" vertical="center" textRotation="0" wrapText="false" indent="0" shrinkToFit="false"/>
      <protection locked="true" hidden="false"/>
    </xf>
    <xf numFmtId="167" fontId="6" fillId="3" borderId="1" xfId="0" applyFont="true" applyBorder="true" applyAlignment="true" applyProtection="false">
      <alignment horizontal="general"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center"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center" textRotation="0" wrapText="false" indent="0" shrinkToFit="false"/>
      <protection locked="true" hidden="false"/>
    </xf>
    <xf numFmtId="167" fontId="6" fillId="6" borderId="1" xfId="0" applyFont="true" applyBorder="true" applyAlignment="true" applyProtection="false">
      <alignment horizontal="general" vertical="center"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5" fontId="0" fillId="0" borderId="1" xfId="0" applyFont="fals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center" textRotation="0" wrapText="false" indent="0" shrinkToFit="false"/>
      <protection locked="true" hidden="false"/>
    </xf>
    <xf numFmtId="167" fontId="6" fillId="7" borderId="1" xfId="0" applyFont="true" applyBorder="true" applyAlignment="true" applyProtection="false">
      <alignment horizontal="general" vertical="center" textRotation="0" wrapText="false" indent="0" shrinkToFit="false"/>
      <protection locked="true" hidden="false"/>
    </xf>
    <xf numFmtId="165" fontId="6" fillId="4"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6" fillId="6" borderId="1"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70" fontId="0" fillId="5"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true" applyProtection="false">
      <alignment horizontal="general" vertical="center" textRotation="0" wrapText="false" indent="0" shrinkToFit="false"/>
      <protection locked="true" hidden="false"/>
    </xf>
    <xf numFmtId="171" fontId="0" fillId="5"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D4EDDA"/>
        </patternFill>
      </fill>
    </dxf>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A6FA5"/>
      <rgbColor rgb="FFBFBFBF"/>
      <rgbColor rgb="FF878787"/>
      <rgbColor rgb="FF9999FF"/>
      <rgbColor rgb="FF9F423F"/>
      <rgbColor rgb="FFFFF3CD"/>
      <rgbColor rgb="FFD1ECF1"/>
      <rgbColor rgb="FF660066"/>
      <rgbColor rgb="FFCC7C3A"/>
      <rgbColor rgb="FF416A9C"/>
      <rgbColor rgb="FFE2D9F3"/>
      <rgbColor rgb="FF000080"/>
      <rgbColor rgb="FFFF00FF"/>
      <rgbColor rgb="FFFFFF00"/>
      <rgbColor rgb="FF00FFFF"/>
      <rgbColor rgb="FF800080"/>
      <rgbColor rgb="FF800000"/>
      <rgbColor rgb="FF4F81BD"/>
      <rgbColor rgb="FF0000FF"/>
      <rgbColor rgb="FF00CCFF"/>
      <rgbColor rgb="FFEAF2F8"/>
      <rgbColor rgb="FFD4EDDA"/>
      <rgbColor rgb="FFD9D9D9"/>
      <rgbColor rgb="FFAABAD7"/>
      <rgbColor rgb="FFD8AAA9"/>
      <rgbColor rgb="FFC5D6AC"/>
      <rgbColor rgb="FFF8D7DA"/>
      <rgbColor rgb="FF4A7EBB"/>
      <rgbColor rgb="FF4BACC6"/>
      <rgbColor rgb="FF9BBB59"/>
      <rgbColor rgb="FFFFCC00"/>
      <rgbColor rgb="FFF79646"/>
      <rgbColor rgb="FFFF6600"/>
      <rgbColor rgb="FF8064A2"/>
      <rgbColor rgb="FF809B49"/>
      <rgbColor rgb="FF1B4F72"/>
      <rgbColor rgb="FF3E8EA4"/>
      <rgbColor rgb="FF003300"/>
      <rgbColor rgb="FF555555"/>
      <rgbColor rgb="FFC0504D"/>
      <rgbColor rgb="FFBE4B48"/>
      <rgbColor rgb="FF6A5286"/>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Latency Waterfall - Cumulative ms by Hop</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07_Network_Latency!$A$4:$A$15</c:f>
              <c:strCache>
                <c:ptCount val="12"/>
                <c:pt idx="0">
                  <c:v>Client -&gt; DNS</c:v>
                </c:pt>
                <c:pt idx="1">
                  <c:v>DNS -&gt; CDN PoP</c:v>
                </c:pt>
                <c:pt idx="2">
                  <c:v>CDN -&gt; Origin (on miss)</c:v>
                </c:pt>
                <c:pt idx="3">
                  <c:v>Origin -&gt; LB</c:v>
                </c:pt>
                <c:pt idx="4">
                  <c:v>LB -&gt; API Gateway</c:v>
                </c:pt>
                <c:pt idx="5">
                  <c:v>Gateway (JWT + RL + route)</c:v>
                </c:pt>
                <c:pt idx="6">
                  <c:v>Gateway -&gt; Service</c:v>
                </c:pt>
                <c:pt idx="7">
                  <c:v>Service processing</c:v>
                </c:pt>
                <c:pt idx="8">
                  <c:v>Service -&gt; Redis</c:v>
                </c:pt>
                <c:pt idx="9">
                  <c:v>Service -&gt; PostgreSQL</c:v>
                </c:pt>
                <c:pt idx="10">
                  <c:v>Service -&gt; Response</c:v>
                </c:pt>
                <c:pt idx="11">
                  <c:v>Reverse path (LB, CDN)</c:v>
                </c:pt>
              </c:strCache>
            </c:strRef>
          </c:cat>
          <c:val>
            <c:numRef>
              <c:f>07_Network_Latency!$C$4:$C$15</c:f>
              <c:numCache>
                <c:formatCode>#,##0.####</c:formatCode>
                <c:ptCount val="12"/>
                <c:pt idx="0">
                  <c:v>5</c:v>
                </c:pt>
                <c:pt idx="1">
                  <c:v>15</c:v>
                </c:pt>
                <c:pt idx="2">
                  <c:v>45</c:v>
                </c:pt>
                <c:pt idx="3">
                  <c:v>47</c:v>
                </c:pt>
                <c:pt idx="4">
                  <c:v>49</c:v>
                </c:pt>
                <c:pt idx="5">
                  <c:v>52.5</c:v>
                </c:pt>
                <c:pt idx="6">
                  <c:v>53.5</c:v>
                </c:pt>
                <c:pt idx="7">
                  <c:v>73.5</c:v>
                </c:pt>
                <c:pt idx="8">
                  <c:v>74.5</c:v>
                </c:pt>
                <c:pt idx="9">
                  <c:v>79.5</c:v>
                </c:pt>
                <c:pt idx="10">
                  <c:v>80.5</c:v>
                </c:pt>
                <c:pt idx="11">
                  <c:v>85.5</c:v>
                </c:pt>
              </c:numCache>
            </c:numRef>
          </c:val>
        </c:ser>
        <c:gapWidth val="150"/>
        <c:overlap val="0"/>
        <c:axId val="82518707"/>
        <c:axId val="99609056"/>
      </c:barChart>
      <c:catAx>
        <c:axId val="8251870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Hop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609056"/>
        <c:crosses val="autoZero"/>
        <c:auto val="1"/>
        <c:lblAlgn val="ctr"/>
        <c:lblOffset val="100"/>
        <c:noMultiLvlLbl val="0"/>
      </c:catAx>
      <c:valAx>
        <c:axId val="996090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ms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51870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Throughput vs Partitions Sensitivity</a:t>
            </a:r>
          </a:p>
        </c:rich>
      </c:tx>
      <c:overlay val="0"/>
      <c:spPr>
        <a:noFill/>
        <a:ln w="0">
          <a:noFill/>
        </a:ln>
      </c:spPr>
    </c:title>
    <c:autoTitleDeleted val="0"/>
    <c:plotArea>
      <c:lineChart>
        <c:grouping val="standard"/>
        <c:varyColors val="0"/>
        <c:ser>
          <c:idx val="0"/>
          <c:order val="0"/>
          <c:tx>
            <c:strRef>
              <c:f>08_Kafka_Design!B55</c:f>
              <c:strCache>
                <c:ptCount val="1"/>
                <c:pt idx="0">
                  <c:v>Max Producer Throughput (MB/s)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08_Kafka_Design!$A$56:$A$63</c:f>
              <c:strCache>
                <c:ptCount val="8"/>
                <c:pt idx="0">
                  <c:v>6</c:v>
                </c:pt>
                <c:pt idx="1">
                  <c:v>12</c:v>
                </c:pt>
                <c:pt idx="2">
                  <c:v>18</c:v>
                </c:pt>
                <c:pt idx="3">
                  <c:v>24</c:v>
                </c:pt>
                <c:pt idx="4">
                  <c:v>30</c:v>
                </c:pt>
                <c:pt idx="5">
                  <c:v>36</c:v>
                </c:pt>
                <c:pt idx="6">
                  <c:v>48</c:v>
                </c:pt>
                <c:pt idx="7">
                  <c:v>60</c:v>
                </c:pt>
              </c:strCache>
            </c:strRef>
          </c:cat>
          <c:val>
            <c:numRef>
              <c:f>08_Kafka_Design!$B$56:$B$63</c:f>
              <c:numCache>
                <c:formatCode>General</c:formatCode>
                <c:ptCount val="8"/>
                <c:pt idx="0">
                  <c:v>60</c:v>
                </c:pt>
                <c:pt idx="1">
                  <c:v>120</c:v>
                </c:pt>
                <c:pt idx="2">
                  <c:v>180</c:v>
                </c:pt>
                <c:pt idx="3">
                  <c:v>240</c:v>
                </c:pt>
                <c:pt idx="4">
                  <c:v>300</c:v>
                </c:pt>
                <c:pt idx="5">
                  <c:v>360</c:v>
                </c:pt>
                <c:pt idx="6">
                  <c:v>480</c:v>
                </c:pt>
                <c:pt idx="7">
                  <c:v>600</c:v>
                </c:pt>
              </c:numCache>
            </c:numRef>
          </c:val>
          <c:smooth val="1"/>
        </c:ser>
        <c:ser>
          <c:idx val="1"/>
          <c:order val="1"/>
          <c:tx>
            <c:strRef>
              <c:f>08_Kafka_Design!C55</c:f>
              <c:strCache>
                <c:ptCount val="1"/>
                <c:pt idx="0">
                  <c:v>Max Consumer Throughput (MB/s)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08_Kafka_Design!$A$56:$A$63</c:f>
              <c:strCache>
                <c:ptCount val="8"/>
                <c:pt idx="0">
                  <c:v>6</c:v>
                </c:pt>
                <c:pt idx="1">
                  <c:v>12</c:v>
                </c:pt>
                <c:pt idx="2">
                  <c:v>18</c:v>
                </c:pt>
                <c:pt idx="3">
                  <c:v>24</c:v>
                </c:pt>
                <c:pt idx="4">
                  <c:v>30</c:v>
                </c:pt>
                <c:pt idx="5">
                  <c:v>36</c:v>
                </c:pt>
                <c:pt idx="6">
                  <c:v>48</c:v>
                </c:pt>
                <c:pt idx="7">
                  <c:v>60</c:v>
                </c:pt>
              </c:strCache>
            </c:strRef>
          </c:cat>
          <c:val>
            <c:numRef>
              <c:f>08_Kafka_Design!$C$56:$C$63</c:f>
              <c:numCache>
                <c:formatCode>General</c:formatCode>
                <c:ptCount val="8"/>
                <c:pt idx="0">
                  <c:v>30</c:v>
                </c:pt>
                <c:pt idx="1">
                  <c:v>60</c:v>
                </c:pt>
                <c:pt idx="2">
                  <c:v>90</c:v>
                </c:pt>
                <c:pt idx="3">
                  <c:v>120</c:v>
                </c:pt>
                <c:pt idx="4">
                  <c:v>150</c:v>
                </c:pt>
                <c:pt idx="5">
                  <c:v>180</c:v>
                </c:pt>
                <c:pt idx="6">
                  <c:v>240</c:v>
                </c:pt>
                <c:pt idx="7">
                  <c:v>300</c:v>
                </c:pt>
              </c:numCache>
            </c:numRef>
          </c:val>
          <c:smooth val="1"/>
        </c:ser>
        <c:hiLowLines>
          <c:spPr>
            <a:ln w="0">
              <a:noFill/>
            </a:ln>
          </c:spPr>
        </c:hiLowLines>
        <c:marker val="0"/>
        <c:axId val="68827181"/>
        <c:axId val="21093031"/>
      </c:lineChart>
      <c:catAx>
        <c:axId val="688271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Partitions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093031"/>
        <c:crosses val="autoZero"/>
        <c:auto val="1"/>
        <c:lblAlgn val="ctr"/>
        <c:lblOffset val="100"/>
        <c:noMultiLvlLbl val="0"/>
      </c:catAx>
      <c:valAx>
        <c:axId val="210930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8271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Cost Breakdown</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16a9c"/>
              </a:solidFill>
              <a:ln w="0">
                <a:noFill/>
              </a:ln>
            </c:spPr>
          </c:dPt>
          <c:dPt>
            <c:idx val="1"/>
            <c:spPr>
              <a:solidFill>
                <a:srgbClr val="9f423f"/>
              </a:solidFill>
              <a:ln w="0">
                <a:noFill/>
              </a:ln>
            </c:spPr>
          </c:dPt>
          <c:dPt>
            <c:idx val="2"/>
            <c:spPr>
              <a:solidFill>
                <a:srgbClr val="809b49"/>
              </a:solidFill>
              <a:ln w="0">
                <a:noFill/>
              </a:ln>
            </c:spPr>
          </c:dPt>
          <c:dPt>
            <c:idx val="3"/>
            <c:spPr>
              <a:solidFill>
                <a:srgbClr val="6a5286"/>
              </a:solidFill>
              <a:ln w="0">
                <a:noFill/>
              </a:ln>
            </c:spPr>
          </c:dPt>
          <c:dPt>
            <c:idx val="4"/>
            <c:spPr>
              <a:solidFill>
                <a:srgbClr val="3e8ea4"/>
              </a:solidFill>
              <a:ln w="0">
                <a:noFill/>
              </a:ln>
            </c:spPr>
          </c:dPt>
          <c:dPt>
            <c:idx val="5"/>
            <c:spPr>
              <a:solidFill>
                <a:srgbClr val="cc7c3a"/>
              </a:solidFill>
              <a:ln w="0">
                <a:noFill/>
              </a:ln>
            </c:spPr>
          </c:dPt>
          <c:dPt>
            <c:idx val="6"/>
            <c:spPr>
              <a:solidFill>
                <a:srgbClr val="4f81bd"/>
              </a:solidFill>
              <a:ln w="0">
                <a:noFill/>
              </a:ln>
            </c:spPr>
          </c:dPt>
          <c:dPt>
            <c:idx val="7"/>
            <c:spPr>
              <a:solidFill>
                <a:srgbClr val="c0504d"/>
              </a:solidFill>
              <a:ln w="0">
                <a:noFill/>
              </a:ln>
            </c:spPr>
          </c:dPt>
          <c:dPt>
            <c:idx val="8"/>
            <c:spPr>
              <a:solidFill>
                <a:srgbClr val="9bbb59"/>
              </a:solidFill>
              <a:ln w="0">
                <a:noFill/>
              </a:ln>
            </c:spPr>
          </c:dPt>
          <c:dPt>
            <c:idx val="9"/>
            <c:spPr>
              <a:solidFill>
                <a:srgbClr val="8064a2"/>
              </a:solidFill>
              <a:ln w="0">
                <a:noFill/>
              </a:ln>
            </c:spPr>
          </c:dPt>
          <c:dPt>
            <c:idx val="10"/>
            <c:spPr>
              <a:solidFill>
                <a:srgbClr val="4bacc6"/>
              </a:solidFill>
              <a:ln w="0">
                <a:noFill/>
              </a:ln>
            </c:spPr>
          </c:dPt>
          <c:dPt>
            <c:idx val="11"/>
            <c:spPr>
              <a:solidFill>
                <a:srgbClr val="f79646"/>
              </a:solidFill>
              <a:ln w="0">
                <a:noFill/>
              </a:ln>
            </c:spPr>
          </c:dPt>
          <c:dPt>
            <c:idx val="12"/>
            <c:spPr>
              <a:solidFill>
                <a:srgbClr val="aabad7"/>
              </a:solidFill>
              <a:ln w="0">
                <a:noFill/>
              </a:ln>
            </c:spPr>
          </c:dPt>
          <c:dPt>
            <c:idx val="13"/>
            <c:spPr>
              <a:solidFill>
                <a:srgbClr val="d8aaa9"/>
              </a:solidFill>
              <a:ln w="0">
                <a:noFill/>
              </a:ln>
            </c:spPr>
          </c:dPt>
          <c:dPt>
            <c:idx val="14"/>
            <c:spPr>
              <a:solidFill>
                <a:srgbClr val="c5d6ac"/>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dLbl>
              <c:idx val="8"/>
              <c:txPr>
                <a:bodyPr wrap="none"/>
                <a:lstStyle/>
                <a:p>
                  <a:pPr>
                    <a:defRPr b="0" sz="1000" spc="-1" strike="noStrike">
                      <a:latin typeface="Arial"/>
                    </a:defRPr>
                  </a:pPr>
                </a:p>
              </c:txPr>
              <c:showLegendKey val="0"/>
              <c:showVal val="0"/>
              <c:showCatName val="0"/>
              <c:showSerName val="0"/>
              <c:showPercent val="0"/>
              <c:separator> </c:separator>
            </c:dLbl>
            <c:dLbl>
              <c:idx val="9"/>
              <c:txPr>
                <a:bodyPr wrap="none"/>
                <a:lstStyle/>
                <a:p>
                  <a:pPr>
                    <a:defRPr b="0" sz="1000" spc="-1" strike="noStrike">
                      <a:latin typeface="Arial"/>
                    </a:defRPr>
                  </a:pPr>
                </a:p>
              </c:txPr>
              <c:showLegendKey val="0"/>
              <c:showVal val="0"/>
              <c:showCatName val="0"/>
              <c:showSerName val="0"/>
              <c:showPercent val="0"/>
              <c:separator> </c:separator>
            </c:dLbl>
            <c:dLbl>
              <c:idx val="10"/>
              <c:txPr>
                <a:bodyPr wrap="none"/>
                <a:lstStyle/>
                <a:p>
                  <a:pPr>
                    <a:defRPr b="0" sz="1000" spc="-1" strike="noStrike">
                      <a:latin typeface="Arial"/>
                    </a:defRPr>
                  </a:pPr>
                </a:p>
              </c:txPr>
              <c:showLegendKey val="0"/>
              <c:showVal val="0"/>
              <c:showCatName val="0"/>
              <c:showSerName val="0"/>
              <c:showPercent val="0"/>
              <c:separator> </c:separator>
            </c:dLbl>
            <c:dLbl>
              <c:idx val="11"/>
              <c:txPr>
                <a:bodyPr wrap="none"/>
                <a:lstStyle/>
                <a:p>
                  <a:pPr>
                    <a:defRPr b="0" sz="1000" spc="-1" strike="noStrike">
                      <a:latin typeface="Arial"/>
                    </a:defRPr>
                  </a:pPr>
                </a:p>
              </c:txPr>
              <c:showLegendKey val="0"/>
              <c:showVal val="0"/>
              <c:showCatName val="0"/>
              <c:showSerName val="0"/>
              <c:showPercent val="0"/>
              <c:separator> </c:separator>
            </c:dLbl>
            <c:dLbl>
              <c:idx val="12"/>
              <c:txPr>
                <a:bodyPr wrap="none"/>
                <a:lstStyle/>
                <a:p>
                  <a:pPr>
                    <a:defRPr b="0" sz="1000" spc="-1" strike="noStrike">
                      <a:latin typeface="Arial"/>
                    </a:defRPr>
                  </a:pPr>
                </a:p>
              </c:txPr>
              <c:showLegendKey val="0"/>
              <c:showVal val="0"/>
              <c:showCatName val="0"/>
              <c:showSerName val="0"/>
              <c:showPercent val="0"/>
              <c:separator> </c:separator>
            </c:dLbl>
            <c:dLbl>
              <c:idx val="13"/>
              <c:txPr>
                <a:bodyPr wrap="none"/>
                <a:lstStyle/>
                <a:p>
                  <a:pPr>
                    <a:defRPr b="0" sz="1000" spc="-1" strike="noStrike">
                      <a:latin typeface="Arial"/>
                    </a:defRPr>
                  </a:pPr>
                </a:p>
              </c:txPr>
              <c:showLegendKey val="0"/>
              <c:showVal val="0"/>
              <c:showCatName val="0"/>
              <c:showSerName val="0"/>
              <c:showPercent val="0"/>
              <c:separator> </c:separator>
            </c:dLbl>
            <c:dLbl>
              <c:idx val="14"/>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16_Cost_Estimator!$A$4:$A$18</c:f>
              <c:strCache>
                <c:ptCount val="15"/>
                <c:pt idx="0">
                  <c:v>Kafka Brokers</c:v>
                </c:pt>
                <c:pt idx="1">
                  <c:v>KRaft Controllers</c:v>
                </c:pt>
                <c:pt idx="2">
                  <c:v>App Servers (all services)</c:v>
                </c:pt>
                <c:pt idx="3">
                  <c:v>API Gateway</c:v>
                </c:pt>
                <c:pt idx="4">
                  <c:v>NLB / ALB</c:v>
                </c:pt>
                <c:pt idx="5">
                  <c:v>DB Primary</c:v>
                </c:pt>
                <c:pt idx="6">
                  <c:v>DB Read Replicas</c:v>
                </c:pt>
                <c:pt idx="7">
                  <c:v>Redis Cluster</c:v>
                </c:pt>
                <c:pt idx="8">
                  <c:v>NAT Gateway</c:v>
                </c:pt>
                <c:pt idx="9">
                  <c:v>S3 (Backups + Assets)</c:v>
                </c:pt>
                <c:pt idx="10">
                  <c:v>CloudFront / CDN Egress</c:v>
                </c:pt>
                <c:pt idx="11">
                  <c:v>Monitoring (CloudWatch/Datadog)</c:v>
                </c:pt>
                <c:pt idx="12">
                  <c:v>Secrets Manager</c:v>
                </c:pt>
                <c:pt idx="13">
                  <c:v>Route53 (hosted zone + queries)</c:v>
                </c:pt>
                <c:pt idx="14">
                  <c:v>Load Testing (occasional, spot)</c:v>
                </c:pt>
              </c:strCache>
            </c:strRef>
          </c:cat>
          <c:val>
            <c:numRef>
              <c:f>16_Cost_Estimator!$E$4:$E$18</c:f>
              <c:numCache>
                <c:formatCode>\$#,##0</c:formatCode>
                <c:ptCount val="15"/>
                <c:pt idx="0">
                  <c:v>840.96</c:v>
                </c:pt>
                <c:pt idx="1">
                  <c:v>210.24</c:v>
                </c:pt>
                <c:pt idx="2">
                  <c:v>3598.9</c:v>
                </c:pt>
                <c:pt idx="3">
                  <c:v>1116.9</c:v>
                </c:pt>
                <c:pt idx="4">
                  <c:v>32.85</c:v>
                </c:pt>
                <c:pt idx="5">
                  <c:v>367.92</c:v>
                </c:pt>
                <c:pt idx="6">
                  <c:v>1471.68</c:v>
                </c:pt>
                <c:pt idx="7">
                  <c:v>494.94</c:v>
                </c:pt>
                <c:pt idx="8">
                  <c:v>65.7</c:v>
                </c:pt>
                <c:pt idx="9">
                  <c:v>666.260719299316</c:v>
                </c:pt>
                <c:pt idx="10">
                  <c:v>7295.60852050781</c:v>
                </c:pt>
                <c:pt idx="11">
                  <c:v>500</c:v>
                </c:pt>
                <c:pt idx="12">
                  <c:v>8</c:v>
                </c:pt>
                <c:pt idx="13">
                  <c:v>52.5</c:v>
                </c:pt>
                <c:pt idx="14">
                  <c:v>200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0</xdr:rowOff>
    </xdr:from>
    <xdr:to>
      <xdr:col>18</xdr:col>
      <xdr:colOff>581760</xdr:colOff>
      <xdr:row>17</xdr:row>
      <xdr:rowOff>267840</xdr:rowOff>
    </xdr:to>
    <xdr:graphicFrame>
      <xdr:nvGraphicFramePr>
        <xdr:cNvPr id="0" name="Chart 1"/>
        <xdr:cNvGraphicFramePr/>
      </xdr:nvGraphicFramePr>
      <xdr:xfrm>
        <a:off x="8364960" y="51444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0</xdr:rowOff>
    </xdr:from>
    <xdr:to>
      <xdr:col>17</xdr:col>
      <xdr:colOff>473040</xdr:colOff>
      <xdr:row>16</xdr:row>
      <xdr:rowOff>9000</xdr:rowOff>
    </xdr:to>
    <xdr:graphicFrame>
      <xdr:nvGraphicFramePr>
        <xdr:cNvPr id="1" name="Chart 1"/>
        <xdr:cNvGraphicFramePr/>
      </xdr:nvGraphicFramePr>
      <xdr:xfrm>
        <a:off x="11043360" y="51444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0</xdr:rowOff>
    </xdr:from>
    <xdr:to>
      <xdr:col>16</xdr:col>
      <xdr:colOff>255960</xdr:colOff>
      <xdr:row>20</xdr:row>
      <xdr:rowOff>113400</xdr:rowOff>
    </xdr:to>
    <xdr:graphicFrame>
      <xdr:nvGraphicFramePr>
        <xdr:cNvPr id="2" name="Chart 1"/>
        <xdr:cNvGraphicFramePr/>
      </xdr:nvGraphicFramePr>
      <xdr:xfrm>
        <a:off x="7095960" y="514440"/>
        <a:ext cx="57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 collapsed="false" customWidth="true" hidden="false" outlineLevel="0" max="5" min="3" style="0" width="18"/>
  </cols>
  <sheetData>
    <row r="1" customFormat="false" ht="25.5" hidden="false" customHeight="true" outlineLevel="0" collapsed="false">
      <c r="A1" s="1" t="s">
        <v>0</v>
      </c>
      <c r="B1" s="1"/>
      <c r="C1" s="1"/>
      <c r="D1" s="1"/>
      <c r="E1" s="1"/>
    </row>
    <row r="3" customFormat="false" ht="18" hidden="false" customHeight="true" outlineLevel="0" collapsed="false">
      <c r="A3" s="2" t="s">
        <v>1</v>
      </c>
      <c r="B3" s="2"/>
      <c r="C3" s="2"/>
      <c r="D3" s="2"/>
      <c r="E3" s="2"/>
    </row>
    <row r="4" customFormat="false" ht="45" hidden="false" customHeight="true" outlineLevel="0" collapsed="false">
      <c r="A4" s="3" t="s">
        <v>2</v>
      </c>
      <c r="B4" s="3"/>
      <c r="C4" s="3"/>
      <c r="D4" s="3"/>
      <c r="E4" s="3"/>
    </row>
    <row r="6" customFormat="false" ht="18" hidden="false" customHeight="true" outlineLevel="0" collapsed="false">
      <c r="A6" s="2" t="s">
        <v>3</v>
      </c>
      <c r="B6" s="2"/>
      <c r="C6" s="2"/>
      <c r="D6" s="2"/>
      <c r="E6" s="2"/>
    </row>
    <row r="7" customFormat="false" ht="27.75" hidden="false" customHeight="true" outlineLevel="0" collapsed="false">
      <c r="A7" s="4" t="s">
        <v>4</v>
      </c>
      <c r="B7" s="5" t="s">
        <v>5</v>
      </c>
      <c r="C7" s="5"/>
      <c r="D7" s="5"/>
      <c r="E7" s="5"/>
    </row>
    <row r="8" customFormat="false" ht="27.75" hidden="false" customHeight="true" outlineLevel="0" collapsed="false">
      <c r="A8" s="6" t="s">
        <v>6</v>
      </c>
      <c r="B8" s="5" t="s">
        <v>7</v>
      </c>
      <c r="C8" s="5"/>
      <c r="D8" s="5"/>
      <c r="E8" s="5"/>
    </row>
    <row r="9" customFormat="false" ht="27.75" hidden="false" customHeight="true" outlineLevel="0" collapsed="false">
      <c r="A9" s="7" t="s">
        <v>8</v>
      </c>
      <c r="B9" s="5" t="s">
        <v>9</v>
      </c>
      <c r="C9" s="5"/>
      <c r="D9" s="5"/>
      <c r="E9" s="5"/>
    </row>
    <row r="10" customFormat="false" ht="27.75" hidden="false" customHeight="true" outlineLevel="0" collapsed="false">
      <c r="A10" s="8" t="s">
        <v>10</v>
      </c>
      <c r="B10" s="5" t="s">
        <v>11</v>
      </c>
      <c r="C10" s="5"/>
      <c r="D10" s="5"/>
      <c r="E10" s="5"/>
    </row>
    <row r="11" customFormat="false" ht="27.75" hidden="false" customHeight="true" outlineLevel="0" collapsed="false">
      <c r="A11" s="9" t="s">
        <v>12</v>
      </c>
      <c r="B11" s="5" t="s">
        <v>13</v>
      </c>
      <c r="C11" s="5"/>
      <c r="D11" s="5"/>
      <c r="E11" s="5"/>
    </row>
    <row r="13" customFormat="false" ht="18" hidden="false" customHeight="true" outlineLevel="0" collapsed="false">
      <c r="A13" s="2" t="s">
        <v>14</v>
      </c>
      <c r="B13" s="2"/>
      <c r="C13" s="2"/>
      <c r="D13" s="2"/>
      <c r="E13" s="2"/>
    </row>
    <row r="14" customFormat="false" ht="15" hidden="false" customHeight="false" outlineLevel="0" collapsed="false">
      <c r="A14" s="10" t="s">
        <v>15</v>
      </c>
      <c r="B14" s="11" t="s">
        <v>16</v>
      </c>
      <c r="C14" s="11"/>
      <c r="D14" s="11"/>
      <c r="E14" s="11"/>
    </row>
    <row r="15" customFormat="false" ht="15" hidden="false" customHeight="false" outlineLevel="0" collapsed="false">
      <c r="A15" s="10" t="s">
        <v>15</v>
      </c>
      <c r="B15" s="11" t="s">
        <v>17</v>
      </c>
      <c r="C15" s="11"/>
      <c r="D15" s="11"/>
      <c r="E15" s="11"/>
    </row>
    <row r="16" customFormat="false" ht="15" hidden="false" customHeight="false" outlineLevel="0" collapsed="false">
      <c r="A16" s="10" t="s">
        <v>15</v>
      </c>
      <c r="B16" s="11" t="s">
        <v>18</v>
      </c>
      <c r="C16" s="11"/>
      <c r="D16" s="11"/>
      <c r="E16" s="11"/>
    </row>
    <row r="17" customFormat="false" ht="15" hidden="false" customHeight="false" outlineLevel="0" collapsed="false">
      <c r="A17" s="10" t="s">
        <v>15</v>
      </c>
      <c r="B17" s="11" t="s">
        <v>19</v>
      </c>
      <c r="C17" s="11"/>
      <c r="D17" s="11"/>
      <c r="E17" s="11"/>
    </row>
    <row r="18" customFormat="false" ht="15" hidden="false" customHeight="false" outlineLevel="0" collapsed="false">
      <c r="A18" s="10" t="s">
        <v>15</v>
      </c>
      <c r="B18" s="11" t="s">
        <v>20</v>
      </c>
      <c r="C18" s="11"/>
      <c r="D18" s="11"/>
      <c r="E18" s="11"/>
    </row>
    <row r="19" customFormat="false" ht="15" hidden="false" customHeight="false" outlineLevel="0" collapsed="false">
      <c r="A19" s="10" t="s">
        <v>15</v>
      </c>
      <c r="B19" s="11" t="s">
        <v>21</v>
      </c>
      <c r="C19" s="11"/>
      <c r="D19" s="11"/>
      <c r="E19" s="11"/>
    </row>
    <row r="20" customFormat="false" ht="15" hidden="false" customHeight="false" outlineLevel="0" collapsed="false">
      <c r="A20" s="10" t="s">
        <v>15</v>
      </c>
      <c r="B20" s="11" t="s">
        <v>22</v>
      </c>
      <c r="C20" s="11"/>
      <c r="D20" s="11"/>
      <c r="E20" s="11"/>
    </row>
    <row r="21" customFormat="false" ht="15" hidden="false" customHeight="false" outlineLevel="0" collapsed="false">
      <c r="A21" s="10" t="s">
        <v>15</v>
      </c>
      <c r="B21" s="11" t="s">
        <v>23</v>
      </c>
      <c r="C21" s="11"/>
      <c r="D21" s="11"/>
      <c r="E21" s="11"/>
    </row>
    <row r="22" customFormat="false" ht="15" hidden="false" customHeight="false" outlineLevel="0" collapsed="false">
      <c r="A22" s="10" t="s">
        <v>15</v>
      </c>
      <c r="B22" s="11" t="s">
        <v>24</v>
      </c>
      <c r="C22" s="11"/>
      <c r="D22" s="11"/>
      <c r="E22" s="11"/>
    </row>
    <row r="23" customFormat="false" ht="15" hidden="false" customHeight="false" outlineLevel="0" collapsed="false">
      <c r="A23" s="10" t="s">
        <v>15</v>
      </c>
      <c r="B23" s="11" t="s">
        <v>25</v>
      </c>
      <c r="C23" s="11"/>
      <c r="D23" s="11"/>
      <c r="E23" s="11"/>
    </row>
    <row r="24" customFormat="false" ht="15" hidden="false" customHeight="false" outlineLevel="0" collapsed="false">
      <c r="A24" s="10" t="s">
        <v>15</v>
      </c>
      <c r="B24" s="11" t="s">
        <v>26</v>
      </c>
      <c r="C24" s="11"/>
      <c r="D24" s="11"/>
      <c r="E24" s="11"/>
    </row>
    <row r="25" customFormat="false" ht="15" hidden="false" customHeight="false" outlineLevel="0" collapsed="false">
      <c r="A25" s="10" t="s">
        <v>15</v>
      </c>
      <c r="B25" s="11" t="s">
        <v>27</v>
      </c>
      <c r="C25" s="11"/>
      <c r="D25" s="11"/>
      <c r="E25" s="11"/>
    </row>
    <row r="26" customFormat="false" ht="15" hidden="false" customHeight="false" outlineLevel="0" collapsed="false">
      <c r="A26" s="10" t="s">
        <v>15</v>
      </c>
      <c r="B26" s="11" t="s">
        <v>28</v>
      </c>
      <c r="C26" s="11"/>
      <c r="D26" s="11"/>
      <c r="E26" s="11"/>
    </row>
    <row r="27" customFormat="false" ht="15" hidden="false" customHeight="false" outlineLevel="0" collapsed="false">
      <c r="A27" s="10" t="s">
        <v>15</v>
      </c>
      <c r="B27" s="11" t="s">
        <v>29</v>
      </c>
      <c r="C27" s="11"/>
      <c r="D27" s="11"/>
      <c r="E27" s="11"/>
    </row>
    <row r="28" customFormat="false" ht="15" hidden="false" customHeight="false" outlineLevel="0" collapsed="false">
      <c r="A28" s="10" t="s">
        <v>15</v>
      </c>
      <c r="B28" s="11" t="s">
        <v>30</v>
      </c>
      <c r="C28" s="11"/>
      <c r="D28" s="11"/>
      <c r="E28" s="11"/>
    </row>
    <row r="29" customFormat="false" ht="15" hidden="false" customHeight="false" outlineLevel="0" collapsed="false">
      <c r="A29" s="10" t="s">
        <v>15</v>
      </c>
      <c r="B29" s="11" t="s">
        <v>31</v>
      </c>
      <c r="C29" s="11"/>
      <c r="D29" s="11"/>
      <c r="E29" s="11"/>
    </row>
    <row r="30" customFormat="false" ht="15" hidden="false" customHeight="false" outlineLevel="0" collapsed="false">
      <c r="A30" s="10" t="s">
        <v>15</v>
      </c>
      <c r="B30" s="11" t="s">
        <v>32</v>
      </c>
      <c r="C30" s="11"/>
      <c r="D30" s="11"/>
      <c r="E30" s="11"/>
    </row>
    <row r="31" customFormat="false" ht="15" hidden="false" customHeight="false" outlineLevel="0" collapsed="false">
      <c r="A31" s="10" t="s">
        <v>15</v>
      </c>
      <c r="B31" s="11" t="s">
        <v>33</v>
      </c>
      <c r="C31" s="11"/>
      <c r="D31" s="11"/>
      <c r="E31" s="11"/>
    </row>
    <row r="33" customFormat="false" ht="18" hidden="false" customHeight="true" outlineLevel="0" collapsed="false">
      <c r="A33" s="2" t="s">
        <v>34</v>
      </c>
      <c r="B33" s="2"/>
      <c r="C33" s="2"/>
      <c r="D33" s="2"/>
      <c r="E33" s="2"/>
    </row>
    <row r="34" customFormat="false" ht="45" hidden="false" customHeight="true" outlineLevel="0" collapsed="false">
      <c r="A34" s="3" t="s">
        <v>35</v>
      </c>
      <c r="B34" s="3"/>
      <c r="C34" s="3"/>
      <c r="D34" s="3"/>
      <c r="E34" s="3"/>
    </row>
    <row r="36" customFormat="false" ht="18" hidden="false" customHeight="true" outlineLevel="0" collapsed="false">
      <c r="A36" s="2" t="s">
        <v>36</v>
      </c>
      <c r="B36" s="2"/>
      <c r="C36" s="2"/>
      <c r="D36" s="2"/>
      <c r="E36" s="2"/>
    </row>
    <row r="37" customFormat="false" ht="30" hidden="false" customHeight="true" outlineLevel="0" collapsed="false">
      <c r="A37" s="3" t="s">
        <v>37</v>
      </c>
      <c r="B37" s="3"/>
      <c r="C37" s="3"/>
      <c r="D37" s="3"/>
      <c r="E37" s="3"/>
    </row>
  </sheetData>
  <mergeCells count="32">
    <mergeCell ref="A1:E1"/>
    <mergeCell ref="A3:E3"/>
    <mergeCell ref="A4:E4"/>
    <mergeCell ref="A6:E6"/>
    <mergeCell ref="B7:E7"/>
    <mergeCell ref="B8:E8"/>
    <mergeCell ref="B9:E9"/>
    <mergeCell ref="B10:E10"/>
    <mergeCell ref="B11:E11"/>
    <mergeCell ref="A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A33:E33"/>
    <mergeCell ref="A34:E34"/>
    <mergeCell ref="A36:E36"/>
    <mergeCell ref="A37:E37"/>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0"/>
    <col collapsed="false" customWidth="true" hidden="false" outlineLevel="0" max="4" min="4" style="0" width="46"/>
    <col collapsed="false" customWidth="true" hidden="false" outlineLevel="0" max="5" min="5" style="0" width="10"/>
  </cols>
  <sheetData>
    <row r="1" customFormat="false" ht="25.5" hidden="false" customHeight="true" outlineLevel="0" collapsed="false">
      <c r="A1" s="1" t="s">
        <v>38</v>
      </c>
      <c r="B1" s="1"/>
      <c r="C1" s="1"/>
      <c r="D1" s="1"/>
      <c r="E1" s="1"/>
    </row>
    <row r="2" customFormat="false" ht="15" hidden="false" customHeight="false" outlineLevel="0" collapsed="false">
      <c r="A2" s="12" t="s">
        <v>39</v>
      </c>
      <c r="B2" s="13" t="s">
        <v>40</v>
      </c>
      <c r="D2" s="14" t="s">
        <v>41</v>
      </c>
      <c r="E2" s="14"/>
    </row>
    <row r="4" customFormat="false" ht="18" hidden="false" customHeight="true" outlineLevel="0" collapsed="false">
      <c r="A4" s="2" t="s">
        <v>42</v>
      </c>
      <c r="B4" s="2"/>
      <c r="C4" s="2"/>
      <c r="D4" s="2"/>
      <c r="E4" s="2"/>
    </row>
    <row r="5" customFormat="false" ht="15" hidden="false" customHeight="false" outlineLevel="0" collapsed="false">
      <c r="A5" s="15" t="s">
        <v>43</v>
      </c>
      <c r="B5" s="16" t="n">
        <v>10000000</v>
      </c>
      <c r="D5" s="14" t="s">
        <v>44</v>
      </c>
      <c r="E5" s="14"/>
    </row>
    <row r="6" customFormat="false" ht="15" hidden="false" customHeight="false" outlineLevel="0" collapsed="false">
      <c r="A6" s="15" t="s">
        <v>45</v>
      </c>
      <c r="B6" s="17" t="n">
        <f aca="false">INDEX(Scenarios!$B$2:$B$6,MATCH($B$2,Scenarios!$A$2:$A$6,0))</f>
        <v>20</v>
      </c>
      <c r="D6" s="14" t="s">
        <v>46</v>
      </c>
      <c r="E6" s="14"/>
    </row>
    <row r="7" customFormat="false" ht="15" hidden="false" customHeight="false" outlineLevel="0" collapsed="false">
      <c r="A7" s="15" t="s">
        <v>47</v>
      </c>
      <c r="B7" s="17" t="n">
        <f aca="false">INDEX(Scenarios!$C$2:$C$6,MATCH($B$2,Scenarios!$A$2:$A$6,0))</f>
        <v>20</v>
      </c>
      <c r="D7" s="14" t="s">
        <v>48</v>
      </c>
      <c r="E7" s="14"/>
    </row>
    <row r="8" customFormat="false" ht="15" hidden="false" customHeight="false" outlineLevel="0" collapsed="false">
      <c r="A8" s="15" t="s">
        <v>49</v>
      </c>
      <c r="B8" s="16" t="n">
        <v>30</v>
      </c>
      <c r="D8" s="14" t="s">
        <v>50</v>
      </c>
      <c r="E8" s="14"/>
    </row>
    <row r="9" customFormat="false" ht="15" hidden="false" customHeight="false" outlineLevel="0" collapsed="false">
      <c r="A9" s="15" t="s">
        <v>51</v>
      </c>
      <c r="B9" s="16" t="n">
        <v>3600</v>
      </c>
      <c r="D9" s="14" t="s">
        <v>52</v>
      </c>
      <c r="E9" s="14"/>
    </row>
    <row r="10" customFormat="false" ht="15" hidden="false" customHeight="false" outlineLevel="0" collapsed="false">
      <c r="A10" s="15" t="s">
        <v>53</v>
      </c>
      <c r="B10" s="16" t="n">
        <v>2</v>
      </c>
      <c r="D10" s="14" t="s">
        <v>54</v>
      </c>
      <c r="E10" s="14"/>
    </row>
    <row r="12" customFormat="false" ht="18" hidden="false" customHeight="true" outlineLevel="0" collapsed="false">
      <c r="A12" s="2" t="s">
        <v>55</v>
      </c>
      <c r="B12" s="2"/>
      <c r="C12" s="2"/>
      <c r="D12" s="2"/>
      <c r="E12" s="2"/>
    </row>
    <row r="13" customFormat="false" ht="15" hidden="false" customHeight="false" outlineLevel="0" collapsed="false">
      <c r="A13" s="15" t="s">
        <v>56</v>
      </c>
      <c r="B13" s="16" t="n">
        <v>80</v>
      </c>
      <c r="D13" s="14" t="s">
        <v>57</v>
      </c>
      <c r="E13" s="14"/>
    </row>
    <row r="14" customFormat="false" ht="15" hidden="false" customHeight="false" outlineLevel="0" collapsed="false">
      <c r="A14" s="15" t="s">
        <v>58</v>
      </c>
      <c r="B14" s="16" t="n">
        <v>95</v>
      </c>
      <c r="D14" s="14" t="s">
        <v>59</v>
      </c>
      <c r="E14" s="14"/>
    </row>
    <row r="15" customFormat="false" ht="15" hidden="false" customHeight="false" outlineLevel="0" collapsed="false">
      <c r="A15" s="15" t="s">
        <v>60</v>
      </c>
      <c r="B15" s="16" t="n">
        <v>3</v>
      </c>
      <c r="D15" s="14" t="s">
        <v>61</v>
      </c>
      <c r="E15" s="14"/>
    </row>
    <row r="16" customFormat="false" ht="15" hidden="false" customHeight="false" outlineLevel="0" collapsed="false">
      <c r="A16" s="15" t="s">
        <v>62</v>
      </c>
      <c r="B16" s="16" t="n">
        <v>50</v>
      </c>
      <c r="D16" s="14" t="s">
        <v>63</v>
      </c>
      <c r="E16" s="14"/>
    </row>
    <row r="17" customFormat="false" ht="15" hidden="false" customHeight="false" outlineLevel="0" collapsed="false">
      <c r="A17" s="15" t="s">
        <v>64</v>
      </c>
      <c r="B17" s="16" t="n">
        <v>2</v>
      </c>
      <c r="D17" s="14" t="s">
        <v>65</v>
      </c>
      <c r="E17" s="14"/>
    </row>
    <row r="19" customFormat="false" ht="18" hidden="false" customHeight="true" outlineLevel="0" collapsed="false">
      <c r="A19" s="2" t="s">
        <v>66</v>
      </c>
      <c r="B19" s="2"/>
      <c r="C19" s="2"/>
      <c r="D19" s="2"/>
      <c r="E19" s="2"/>
    </row>
    <row r="20" customFormat="false" ht="15" hidden="false" customHeight="false" outlineLevel="0" collapsed="false">
      <c r="A20" s="15" t="s">
        <v>67</v>
      </c>
      <c r="B20" s="16" t="n">
        <v>1</v>
      </c>
      <c r="D20" s="14" t="s">
        <v>68</v>
      </c>
      <c r="E20" s="14"/>
    </row>
    <row r="21" customFormat="false" ht="15" hidden="false" customHeight="false" outlineLevel="0" collapsed="false">
      <c r="A21" s="15" t="s">
        <v>69</v>
      </c>
      <c r="B21" s="16" t="n">
        <v>3</v>
      </c>
      <c r="D21" s="14" t="s">
        <v>70</v>
      </c>
      <c r="E21" s="14"/>
    </row>
    <row r="22" customFormat="false" ht="15" hidden="false" customHeight="false" outlineLevel="0" collapsed="false">
      <c r="A22" s="15" t="s">
        <v>71</v>
      </c>
      <c r="B22" s="16" t="n">
        <v>10</v>
      </c>
      <c r="D22" s="14" t="s">
        <v>72</v>
      </c>
      <c r="E22" s="14"/>
    </row>
    <row r="23" customFormat="false" ht="15" hidden="false" customHeight="false" outlineLevel="0" collapsed="false">
      <c r="A23" s="15" t="s">
        <v>73</v>
      </c>
      <c r="B23" s="16" t="n">
        <v>5</v>
      </c>
      <c r="D23" s="14" t="s">
        <v>74</v>
      </c>
      <c r="E23" s="14"/>
    </row>
    <row r="24" customFormat="false" ht="15" hidden="false" customHeight="false" outlineLevel="0" collapsed="false">
      <c r="A24" s="15" t="s">
        <v>75</v>
      </c>
      <c r="B24" s="16" t="n">
        <v>500</v>
      </c>
      <c r="D24" s="14" t="s">
        <v>76</v>
      </c>
      <c r="E24" s="14"/>
    </row>
    <row r="25" customFormat="false" ht="15" hidden="false" customHeight="false" outlineLevel="0" collapsed="false">
      <c r="A25" s="15" t="s">
        <v>77</v>
      </c>
      <c r="B25" s="16" t="n">
        <v>3</v>
      </c>
      <c r="D25" s="14" t="s">
        <v>78</v>
      </c>
      <c r="E25" s="14"/>
    </row>
    <row r="26" customFormat="false" ht="15" hidden="false" customHeight="false" outlineLevel="0" collapsed="false">
      <c r="A26" s="15" t="s">
        <v>79</v>
      </c>
      <c r="B26" s="16" t="n">
        <v>6</v>
      </c>
      <c r="D26" s="14" t="s">
        <v>80</v>
      </c>
      <c r="E26" s="14"/>
    </row>
    <row r="27" customFormat="false" ht="15" hidden="false" customHeight="false" outlineLevel="0" collapsed="false">
      <c r="A27" s="15" t="s">
        <v>81</v>
      </c>
      <c r="B27" s="16" t="n">
        <v>7</v>
      </c>
      <c r="D27" s="14" t="s">
        <v>82</v>
      </c>
      <c r="E27" s="14"/>
    </row>
    <row r="29" customFormat="false" ht="18" hidden="false" customHeight="true" outlineLevel="0" collapsed="false">
      <c r="A29" s="2" t="s">
        <v>83</v>
      </c>
      <c r="B29" s="2"/>
      <c r="C29" s="2"/>
      <c r="D29" s="2"/>
      <c r="E29" s="2"/>
    </row>
    <row r="30" customFormat="false" ht="15" hidden="false" customHeight="false" outlineLevel="0" collapsed="false">
      <c r="A30" s="15" t="s">
        <v>84</v>
      </c>
      <c r="B30" s="16" t="n">
        <v>2</v>
      </c>
      <c r="D30" s="14" t="s">
        <v>85</v>
      </c>
      <c r="E30" s="14"/>
    </row>
    <row r="31" customFormat="false" ht="15" hidden="false" customHeight="false" outlineLevel="0" collapsed="false">
      <c r="A31" s="15" t="s">
        <v>86</v>
      </c>
      <c r="B31" s="16" t="n">
        <v>30</v>
      </c>
      <c r="D31" s="14" t="s">
        <v>87</v>
      </c>
      <c r="E31" s="14"/>
    </row>
    <row r="32" customFormat="false" ht="15" hidden="false" customHeight="false" outlineLevel="0" collapsed="false">
      <c r="A32" s="15" t="s">
        <v>88</v>
      </c>
      <c r="B32" s="16" t="n">
        <v>2</v>
      </c>
      <c r="D32" s="14" t="s">
        <v>89</v>
      </c>
      <c r="E32" s="14"/>
    </row>
    <row r="33" customFormat="false" ht="15" hidden="false" customHeight="false" outlineLevel="0" collapsed="false">
      <c r="A33" s="15" t="s">
        <v>90</v>
      </c>
      <c r="B33" s="16" t="n">
        <v>1</v>
      </c>
      <c r="D33" s="14" t="s">
        <v>91</v>
      </c>
      <c r="E33" s="14"/>
    </row>
    <row r="34" customFormat="false" ht="15" hidden="false" customHeight="false" outlineLevel="0" collapsed="false">
      <c r="A34" s="15" t="s">
        <v>92</v>
      </c>
      <c r="B34" s="16" t="n">
        <v>5000</v>
      </c>
      <c r="D34" s="14" t="s">
        <v>93</v>
      </c>
      <c r="E34" s="14"/>
    </row>
    <row r="35" customFormat="false" ht="15" hidden="false" customHeight="false" outlineLevel="0" collapsed="false">
      <c r="A35" s="15" t="s">
        <v>94</v>
      </c>
      <c r="B35" s="16" t="n">
        <v>50</v>
      </c>
      <c r="D35" s="14" t="s">
        <v>95</v>
      </c>
      <c r="E35" s="14"/>
    </row>
    <row r="36" customFormat="false" ht="15" hidden="false" customHeight="false" outlineLevel="0" collapsed="false">
      <c r="A36" s="15" t="s">
        <v>96</v>
      </c>
      <c r="B36" s="16" t="n">
        <v>1.2</v>
      </c>
      <c r="D36" s="14" t="s">
        <v>97</v>
      </c>
      <c r="E36" s="14"/>
    </row>
    <row r="38" customFormat="false" ht="18" hidden="false" customHeight="true" outlineLevel="0" collapsed="false">
      <c r="A38" s="2" t="s">
        <v>98</v>
      </c>
      <c r="B38" s="2"/>
      <c r="C38" s="2"/>
      <c r="D38" s="2"/>
      <c r="E38" s="2"/>
    </row>
    <row r="39" customFormat="false" ht="15" hidden="false" customHeight="false" outlineLevel="0" collapsed="false">
      <c r="A39" s="15" t="s">
        <v>99</v>
      </c>
      <c r="B39" s="16" t="n">
        <v>1.5</v>
      </c>
      <c r="D39" s="14" t="s">
        <v>100</v>
      </c>
      <c r="E39" s="14"/>
    </row>
    <row r="40" customFormat="false" ht="15" hidden="false" customHeight="false" outlineLevel="0" collapsed="false">
      <c r="A40" s="15" t="s">
        <v>101</v>
      </c>
      <c r="B40" s="16" t="n">
        <v>500000</v>
      </c>
      <c r="D40" s="14" t="s">
        <v>102</v>
      </c>
      <c r="E40" s="14"/>
    </row>
    <row r="41" customFormat="false" ht="15" hidden="false" customHeight="false" outlineLevel="0" collapsed="false">
      <c r="A41" s="15" t="s">
        <v>103</v>
      </c>
      <c r="B41" s="16" t="n">
        <v>3</v>
      </c>
      <c r="D41" s="14" t="s">
        <v>104</v>
      </c>
      <c r="E41" s="14"/>
    </row>
    <row r="42" customFormat="false" ht="15" hidden="false" customHeight="false" outlineLevel="0" collapsed="false">
      <c r="A42" s="15" t="s">
        <v>105</v>
      </c>
      <c r="B42" s="16" t="n">
        <v>100000</v>
      </c>
      <c r="D42" s="14" t="s">
        <v>106</v>
      </c>
      <c r="E42" s="14"/>
    </row>
    <row r="43" customFormat="false" ht="15" hidden="false" customHeight="false" outlineLevel="0" collapsed="false">
      <c r="A43" s="15" t="s">
        <v>107</v>
      </c>
      <c r="B43" s="16" t="n">
        <v>1</v>
      </c>
      <c r="D43" s="14" t="s">
        <v>108</v>
      </c>
      <c r="E43" s="14"/>
    </row>
    <row r="44" customFormat="false" ht="15" hidden="false" customHeight="false" outlineLevel="0" collapsed="false">
      <c r="A44" s="15" t="s">
        <v>109</v>
      </c>
      <c r="B44" s="16" t="n">
        <v>1.3</v>
      </c>
      <c r="D44" s="14" t="s">
        <v>110</v>
      </c>
      <c r="E44" s="14"/>
    </row>
    <row r="45" customFormat="false" ht="15" hidden="false" customHeight="false" outlineLevel="0" collapsed="false">
      <c r="A45" s="15" t="s">
        <v>111</v>
      </c>
      <c r="B45" s="16" t="n">
        <v>3</v>
      </c>
      <c r="D45" s="14" t="s">
        <v>112</v>
      </c>
      <c r="E45" s="14"/>
    </row>
    <row r="46" customFormat="false" ht="15" hidden="false" customHeight="false" outlineLevel="0" collapsed="false">
      <c r="A46" s="15" t="s">
        <v>113</v>
      </c>
      <c r="B46" s="16" t="n">
        <v>1.5</v>
      </c>
      <c r="D46" s="14" t="s">
        <v>114</v>
      </c>
      <c r="E46" s="14"/>
    </row>
    <row r="47" customFormat="false" ht="15" hidden="false" customHeight="false" outlineLevel="0" collapsed="false">
      <c r="A47" s="15" t="s">
        <v>115</v>
      </c>
      <c r="B47" s="16" t="n">
        <v>100000</v>
      </c>
      <c r="D47" s="14" t="s">
        <v>116</v>
      </c>
      <c r="E47" s="14"/>
    </row>
    <row r="49" customFormat="false" ht="18" hidden="false" customHeight="true" outlineLevel="0" collapsed="false">
      <c r="A49" s="2" t="s">
        <v>117</v>
      </c>
      <c r="B49" s="2"/>
      <c r="C49" s="2"/>
      <c r="D49" s="2"/>
      <c r="E49" s="2"/>
    </row>
    <row r="50" customFormat="false" ht="15" hidden="false" customHeight="false" outlineLevel="0" collapsed="false">
      <c r="A50" s="15" t="s">
        <v>118</v>
      </c>
      <c r="B50" s="16" t="n">
        <v>4</v>
      </c>
      <c r="D50" s="14" t="s">
        <v>119</v>
      </c>
      <c r="E50" s="14"/>
    </row>
    <row r="51" customFormat="false" ht="15" hidden="false" customHeight="false" outlineLevel="0" collapsed="false">
      <c r="A51" s="15" t="s">
        <v>120</v>
      </c>
      <c r="B51" s="16" t="n">
        <v>8</v>
      </c>
      <c r="D51" s="14" t="s">
        <v>121</v>
      </c>
      <c r="E51" s="14"/>
    </row>
    <row r="52" customFormat="false" ht="15" hidden="false" customHeight="false" outlineLevel="0" collapsed="false">
      <c r="A52" s="15" t="s">
        <v>122</v>
      </c>
      <c r="B52" s="16" t="n">
        <v>6</v>
      </c>
      <c r="D52" s="14" t="s">
        <v>123</v>
      </c>
      <c r="E52" s="14"/>
    </row>
    <row r="53" customFormat="false" ht="15" hidden="false" customHeight="false" outlineLevel="0" collapsed="false">
      <c r="A53" s="15" t="s">
        <v>124</v>
      </c>
      <c r="B53" s="16" t="n">
        <v>4</v>
      </c>
      <c r="D53" s="14" t="s">
        <v>125</v>
      </c>
      <c r="E53" s="14"/>
    </row>
    <row r="54" customFormat="false" ht="15" hidden="false" customHeight="false" outlineLevel="0" collapsed="false">
      <c r="A54" s="15" t="s">
        <v>126</v>
      </c>
      <c r="B54" s="16" t="n">
        <v>4</v>
      </c>
      <c r="D54" s="14" t="s">
        <v>127</v>
      </c>
      <c r="E54" s="14"/>
    </row>
    <row r="55" customFormat="false" ht="15" hidden="false" customHeight="false" outlineLevel="0" collapsed="false">
      <c r="A55" s="15" t="s">
        <v>128</v>
      </c>
      <c r="B55" s="16" t="n">
        <v>3</v>
      </c>
      <c r="D55" s="14" t="s">
        <v>129</v>
      </c>
      <c r="E55" s="14"/>
    </row>
    <row r="56" customFormat="false" ht="15" hidden="false" customHeight="false" outlineLevel="0" collapsed="false">
      <c r="A56" s="15" t="s">
        <v>130</v>
      </c>
      <c r="B56" s="16" t="n">
        <v>3</v>
      </c>
      <c r="D56" s="14" t="s">
        <v>131</v>
      </c>
      <c r="E56" s="14"/>
    </row>
    <row r="57" customFormat="false" ht="15" hidden="false" customHeight="false" outlineLevel="0" collapsed="false">
      <c r="A57" s="15" t="s">
        <v>132</v>
      </c>
      <c r="B57" s="16" t="n">
        <v>3</v>
      </c>
      <c r="D57" s="14" t="s">
        <v>133</v>
      </c>
      <c r="E57" s="14"/>
    </row>
    <row r="58" customFormat="false" ht="15" hidden="false" customHeight="false" outlineLevel="0" collapsed="false">
      <c r="A58" s="15" t="s">
        <v>134</v>
      </c>
      <c r="B58" s="16" t="n">
        <v>2000</v>
      </c>
      <c r="D58" s="14" t="s">
        <v>135</v>
      </c>
      <c r="E58" s="14"/>
    </row>
    <row r="60" customFormat="false" ht="18" hidden="false" customHeight="true" outlineLevel="0" collapsed="false">
      <c r="A60" s="2" t="s">
        <v>136</v>
      </c>
      <c r="B60" s="2"/>
      <c r="C60" s="2"/>
      <c r="D60" s="2"/>
      <c r="E60" s="2"/>
    </row>
    <row r="61" customFormat="false" ht="15" hidden="false" customHeight="false" outlineLevel="0" collapsed="false">
      <c r="A61" s="15" t="s">
        <v>137</v>
      </c>
      <c r="B61" s="16" t="n">
        <v>3000</v>
      </c>
      <c r="D61" s="14" t="s">
        <v>138</v>
      </c>
      <c r="E61" s="14"/>
    </row>
    <row r="62" customFormat="false" ht="15" hidden="false" customHeight="false" outlineLevel="0" collapsed="false">
      <c r="A62" s="15" t="s">
        <v>139</v>
      </c>
      <c r="B62" s="16" t="n">
        <v>60</v>
      </c>
      <c r="D62" s="14" t="s">
        <v>140</v>
      </c>
      <c r="E62" s="14"/>
    </row>
    <row r="63" customFormat="false" ht="15" hidden="false" customHeight="false" outlineLevel="0" collapsed="false">
      <c r="A63" s="15" t="s">
        <v>141</v>
      </c>
      <c r="B63" s="16" t="n">
        <v>3</v>
      </c>
      <c r="D63" s="14" t="s">
        <v>142</v>
      </c>
      <c r="E63" s="14"/>
    </row>
    <row r="64" customFormat="false" ht="15" hidden="false" customHeight="false" outlineLevel="0" collapsed="false">
      <c r="A64" s="15" t="s">
        <v>143</v>
      </c>
      <c r="B64" s="16" t="n">
        <v>5</v>
      </c>
      <c r="D64" s="14" t="s">
        <v>144</v>
      </c>
      <c r="E64" s="14"/>
    </row>
    <row r="65" customFormat="false" ht="15" hidden="false" customHeight="false" outlineLevel="0" collapsed="false">
      <c r="A65" s="15" t="s">
        <v>145</v>
      </c>
      <c r="B65" s="16" t="n">
        <v>10</v>
      </c>
      <c r="D65" s="14" t="s">
        <v>146</v>
      </c>
      <c r="E65" s="14"/>
    </row>
    <row r="66" customFormat="false" ht="15" hidden="false" customHeight="false" outlineLevel="0" collapsed="false">
      <c r="A66" s="15" t="s">
        <v>147</v>
      </c>
      <c r="B66" s="16" t="n">
        <v>20</v>
      </c>
      <c r="D66" s="14" t="s">
        <v>148</v>
      </c>
      <c r="E66" s="14"/>
    </row>
    <row r="67" customFormat="false" ht="15" hidden="false" customHeight="false" outlineLevel="0" collapsed="false">
      <c r="A67" s="15" t="s">
        <v>149</v>
      </c>
      <c r="B67" s="16" t="n">
        <v>10</v>
      </c>
      <c r="D67" s="14" t="s">
        <v>150</v>
      </c>
      <c r="E67" s="14"/>
    </row>
    <row r="68" customFormat="false" ht="15" hidden="false" customHeight="false" outlineLevel="0" collapsed="false">
      <c r="A68" s="15" t="s">
        <v>151</v>
      </c>
      <c r="B68" s="16" t="n">
        <v>100</v>
      </c>
      <c r="D68" s="14" t="s">
        <v>152</v>
      </c>
      <c r="E68" s="14"/>
    </row>
    <row r="69" customFormat="false" ht="15" hidden="false" customHeight="false" outlineLevel="0" collapsed="false">
      <c r="A69" s="15" t="s">
        <v>153</v>
      </c>
      <c r="B69" s="16" t="n">
        <v>500</v>
      </c>
      <c r="D69" s="14" t="s">
        <v>154</v>
      </c>
      <c r="E69" s="14"/>
    </row>
    <row r="71" customFormat="false" ht="18" hidden="false" customHeight="true" outlineLevel="0" collapsed="false">
      <c r="A71" s="2" t="s">
        <v>155</v>
      </c>
      <c r="B71" s="2"/>
      <c r="C71" s="2"/>
      <c r="D71" s="2"/>
      <c r="E71" s="2"/>
    </row>
    <row r="72" customFormat="false" ht="15" hidden="false" customHeight="false" outlineLevel="0" collapsed="false">
      <c r="A72" s="15" t="s">
        <v>156</v>
      </c>
      <c r="B72" s="16" t="n">
        <v>5</v>
      </c>
      <c r="D72" s="14" t="s">
        <v>157</v>
      </c>
      <c r="E72" s="14"/>
    </row>
    <row r="73" customFormat="false" ht="15" hidden="false" customHeight="false" outlineLevel="0" collapsed="false">
      <c r="A73" s="15" t="s">
        <v>158</v>
      </c>
      <c r="B73" s="16" t="n">
        <v>10</v>
      </c>
      <c r="D73" s="14" t="s">
        <v>159</v>
      </c>
      <c r="E73" s="14"/>
    </row>
    <row r="74" customFormat="false" ht="15" hidden="false" customHeight="false" outlineLevel="0" collapsed="false">
      <c r="A74" s="15" t="s">
        <v>160</v>
      </c>
      <c r="B74" s="16" t="n">
        <v>30</v>
      </c>
      <c r="D74" s="14" t="s">
        <v>161</v>
      </c>
      <c r="E74" s="14"/>
    </row>
    <row r="75" customFormat="false" ht="15" hidden="false" customHeight="false" outlineLevel="0" collapsed="false">
      <c r="A75" s="15" t="s">
        <v>162</v>
      </c>
      <c r="B75" s="16" t="n">
        <v>2</v>
      </c>
      <c r="D75" s="14" t="s">
        <v>163</v>
      </c>
      <c r="E75" s="14"/>
    </row>
    <row r="76" customFormat="false" ht="15" hidden="false" customHeight="false" outlineLevel="0" collapsed="false">
      <c r="A76" s="15" t="s">
        <v>164</v>
      </c>
      <c r="B76" s="16" t="n">
        <v>20</v>
      </c>
      <c r="D76" s="14" t="s">
        <v>165</v>
      </c>
      <c r="E76" s="14"/>
    </row>
    <row r="77" customFormat="false" ht="15" hidden="false" customHeight="false" outlineLevel="0" collapsed="false">
      <c r="A77" s="15" t="s">
        <v>166</v>
      </c>
      <c r="B77" s="16" t="n">
        <v>5</v>
      </c>
      <c r="D77" s="14" t="s">
        <v>167</v>
      </c>
      <c r="E77" s="14"/>
    </row>
    <row r="78" customFormat="false" ht="15" hidden="false" customHeight="false" outlineLevel="0" collapsed="false">
      <c r="A78" s="15" t="s">
        <v>168</v>
      </c>
      <c r="B78" s="16" t="n">
        <v>1</v>
      </c>
      <c r="D78" s="14" t="s">
        <v>169</v>
      </c>
      <c r="E78" s="14"/>
    </row>
    <row r="79" customFormat="false" ht="15" hidden="false" customHeight="false" outlineLevel="0" collapsed="false">
      <c r="A79" s="15" t="s">
        <v>170</v>
      </c>
      <c r="B79" s="16" t="n">
        <v>200</v>
      </c>
      <c r="D79" s="14" t="s">
        <v>171</v>
      </c>
      <c r="E79" s="14"/>
    </row>
    <row r="81" customFormat="false" ht="18" hidden="false" customHeight="true" outlineLevel="0" collapsed="false">
      <c r="A81" s="2" t="s">
        <v>172</v>
      </c>
      <c r="B81" s="2"/>
      <c r="C81" s="2"/>
      <c r="D81" s="2"/>
      <c r="E81" s="2"/>
    </row>
    <row r="82" customFormat="false" ht="15" hidden="false" customHeight="false" outlineLevel="0" collapsed="false">
      <c r="A82" s="15" t="s">
        <v>173</v>
      </c>
      <c r="B82" s="16" t="n">
        <v>3</v>
      </c>
      <c r="D82" s="14" t="s">
        <v>174</v>
      </c>
      <c r="E82" s="14"/>
    </row>
    <row r="83" customFormat="false" ht="15" hidden="false" customHeight="false" outlineLevel="0" collapsed="false">
      <c r="A83" s="15" t="s">
        <v>175</v>
      </c>
      <c r="B83" s="16" t="n">
        <v>5</v>
      </c>
      <c r="D83" s="14" t="s">
        <v>176</v>
      </c>
      <c r="E83" s="14"/>
    </row>
    <row r="84" customFormat="false" ht="15" hidden="false" customHeight="false" outlineLevel="0" collapsed="false">
      <c r="A84" s="15" t="s">
        <v>177</v>
      </c>
      <c r="B84" s="16" t="n">
        <v>2</v>
      </c>
      <c r="D84" s="14" t="s">
        <v>178</v>
      </c>
      <c r="E84" s="14"/>
    </row>
    <row r="85" customFormat="false" ht="15" hidden="false" customHeight="false" outlineLevel="0" collapsed="false">
      <c r="A85" s="15" t="s">
        <v>179</v>
      </c>
      <c r="B85" s="16" t="n">
        <v>30</v>
      </c>
      <c r="D85" s="14" t="s">
        <v>180</v>
      </c>
      <c r="E85" s="14"/>
    </row>
    <row r="86" customFormat="false" ht="15" hidden="false" customHeight="false" outlineLevel="0" collapsed="false">
      <c r="A86" s="15" t="s">
        <v>181</v>
      </c>
      <c r="B86" s="16" t="n">
        <v>1000</v>
      </c>
      <c r="D86" s="14" t="s">
        <v>182</v>
      </c>
      <c r="E86" s="14"/>
    </row>
    <row r="87" customFormat="false" ht="15" hidden="false" customHeight="false" outlineLevel="0" collapsed="false">
      <c r="A87" s="15" t="s">
        <v>183</v>
      </c>
      <c r="B87" s="16" t="n">
        <v>15</v>
      </c>
      <c r="D87" s="14" t="s">
        <v>184</v>
      </c>
      <c r="E87" s="14"/>
    </row>
    <row r="89" customFormat="false" ht="18" hidden="false" customHeight="true" outlineLevel="0" collapsed="false">
      <c r="A89" s="2" t="s">
        <v>185</v>
      </c>
      <c r="B89" s="2"/>
      <c r="C89" s="2"/>
      <c r="D89" s="2"/>
      <c r="E89" s="2"/>
    </row>
    <row r="90" customFormat="false" ht="15" hidden="false" customHeight="false" outlineLevel="0" collapsed="false">
      <c r="A90" s="15" t="s">
        <v>186</v>
      </c>
      <c r="B90" s="17" t="n">
        <f aca="false">INDEX(Scenarios!$D$2:$D$6,MATCH($B$2,Scenarios!$A$2:$A$6,0))</f>
        <v>1</v>
      </c>
      <c r="D90" s="14" t="s">
        <v>187</v>
      </c>
      <c r="E90" s="14"/>
    </row>
    <row r="91" customFormat="false" ht="15" hidden="false" customHeight="false" outlineLevel="0" collapsed="false">
      <c r="A91" s="15" t="s">
        <v>188</v>
      </c>
      <c r="B91" s="16" t="n">
        <v>1000000</v>
      </c>
      <c r="D91" s="14" t="s">
        <v>189</v>
      </c>
      <c r="E91" s="14"/>
    </row>
    <row r="92" customFormat="false" ht="15" hidden="false" customHeight="false" outlineLevel="0" collapsed="false">
      <c r="A92" s="15" t="s">
        <v>190</v>
      </c>
      <c r="B92" s="16" t="n">
        <v>70</v>
      </c>
      <c r="D92" s="14" t="s">
        <v>191</v>
      </c>
      <c r="E92" s="14"/>
    </row>
    <row r="93" customFormat="false" ht="15" hidden="false" customHeight="false" outlineLevel="0" collapsed="false">
      <c r="A93" s="15" t="s">
        <v>192</v>
      </c>
      <c r="B93" s="16" t="n">
        <v>60</v>
      </c>
      <c r="D93" s="14" t="s">
        <v>193</v>
      </c>
      <c r="E93" s="14"/>
    </row>
    <row r="94" customFormat="false" ht="15" hidden="false" customHeight="false" outlineLevel="0" collapsed="false">
      <c r="A94" s="15" t="s">
        <v>194</v>
      </c>
      <c r="B94" s="16" t="n">
        <v>90</v>
      </c>
      <c r="D94" s="14" t="s">
        <v>195</v>
      </c>
      <c r="E94" s="14"/>
    </row>
    <row r="96" customFormat="false" ht="18" hidden="false" customHeight="true" outlineLevel="0" collapsed="false">
      <c r="A96" s="2" t="s">
        <v>196</v>
      </c>
      <c r="B96" s="2"/>
      <c r="C96" s="2"/>
      <c r="D96" s="2"/>
      <c r="E96" s="2"/>
    </row>
    <row r="97" customFormat="false" ht="15" hidden="false" customHeight="false" outlineLevel="0" collapsed="false">
      <c r="A97" s="15" t="s">
        <v>197</v>
      </c>
      <c r="B97" s="16" t="n">
        <v>15</v>
      </c>
      <c r="D97" s="14" t="s">
        <v>198</v>
      </c>
      <c r="E97" s="14"/>
    </row>
    <row r="98" customFormat="false" ht="15" hidden="false" customHeight="false" outlineLevel="0" collapsed="false">
      <c r="A98" s="15" t="s">
        <v>199</v>
      </c>
      <c r="B98" s="16" t="n">
        <v>30</v>
      </c>
      <c r="D98" s="14" t="s">
        <v>200</v>
      </c>
      <c r="E98" s="14"/>
    </row>
    <row r="99" customFormat="false" ht="15" hidden="false" customHeight="false" outlineLevel="0" collapsed="false">
      <c r="A99" s="15" t="s">
        <v>201</v>
      </c>
      <c r="B99" s="16" t="n">
        <v>1</v>
      </c>
      <c r="D99" s="14" t="s">
        <v>202</v>
      </c>
      <c r="E99" s="14"/>
    </row>
    <row r="100" customFormat="false" ht="15" hidden="false" customHeight="false" outlineLevel="0" collapsed="false">
      <c r="A100" s="15" t="s">
        <v>203</v>
      </c>
      <c r="B100" s="16" t="n">
        <v>2</v>
      </c>
      <c r="D100" s="14" t="s">
        <v>204</v>
      </c>
      <c r="E100" s="14"/>
    </row>
    <row r="102" customFormat="false" ht="18" hidden="false" customHeight="true" outlineLevel="0" collapsed="false">
      <c r="A102" s="2" t="s">
        <v>205</v>
      </c>
      <c r="B102" s="2"/>
      <c r="C102" s="2"/>
      <c r="D102" s="2"/>
      <c r="E102" s="2"/>
    </row>
    <row r="103" customFormat="false" ht="15" hidden="false" customHeight="false" outlineLevel="0" collapsed="false">
      <c r="A103" s="15" t="s">
        <v>206</v>
      </c>
      <c r="B103" s="16" t="n">
        <v>0.384</v>
      </c>
      <c r="D103" s="14" t="s">
        <v>207</v>
      </c>
      <c r="E103" s="14"/>
    </row>
    <row r="104" customFormat="false" ht="15" hidden="false" customHeight="false" outlineLevel="0" collapsed="false">
      <c r="A104" s="15" t="s">
        <v>208</v>
      </c>
      <c r="B104" s="16" t="n">
        <v>0.17</v>
      </c>
      <c r="D104" s="14" t="s">
        <v>209</v>
      </c>
      <c r="E104" s="14"/>
    </row>
    <row r="105" customFormat="false" ht="15" hidden="false" customHeight="false" outlineLevel="0" collapsed="false">
      <c r="A105" s="15" t="s">
        <v>210</v>
      </c>
      <c r="B105" s="16" t="n">
        <v>0.504</v>
      </c>
      <c r="D105" s="14" t="s">
        <v>211</v>
      </c>
      <c r="E105" s="14"/>
    </row>
    <row r="106" customFormat="false" ht="15" hidden="false" customHeight="false" outlineLevel="0" collapsed="false">
      <c r="A106" s="15" t="s">
        <v>212</v>
      </c>
      <c r="B106" s="16" t="n">
        <v>0.226</v>
      </c>
      <c r="D106" s="14" t="s">
        <v>213</v>
      </c>
      <c r="E106" s="14"/>
    </row>
    <row r="107" customFormat="false" ht="15" hidden="false" customHeight="false" outlineLevel="0" collapsed="false">
      <c r="A107" s="15" t="s">
        <v>214</v>
      </c>
      <c r="B107" s="16" t="n">
        <v>0.17</v>
      </c>
      <c r="D107" s="14" t="s">
        <v>209</v>
      </c>
      <c r="E107" s="14"/>
    </row>
    <row r="108" customFormat="false" ht="15" hidden="false" customHeight="false" outlineLevel="0" collapsed="false">
      <c r="A108" s="15" t="s">
        <v>215</v>
      </c>
      <c r="B108" s="16" t="n">
        <v>0.0225</v>
      </c>
      <c r="D108" s="14" t="s">
        <v>216</v>
      </c>
      <c r="E108" s="14"/>
    </row>
    <row r="109" customFormat="false" ht="15" hidden="false" customHeight="false" outlineLevel="0" collapsed="false">
      <c r="A109" s="15" t="s">
        <v>217</v>
      </c>
      <c r="B109" s="16" t="n">
        <v>730</v>
      </c>
      <c r="D109" s="14" t="s">
        <v>218</v>
      </c>
      <c r="E109" s="14"/>
    </row>
    <row r="110" customFormat="false" ht="15" hidden="false" customHeight="false" outlineLevel="0" collapsed="false">
      <c r="A110" s="15" t="s">
        <v>219</v>
      </c>
      <c r="B110" s="16" t="n">
        <v>0.09</v>
      </c>
      <c r="D110" s="14" t="s">
        <v>220</v>
      </c>
      <c r="E110" s="14"/>
    </row>
    <row r="111" customFormat="false" ht="15" hidden="false" customHeight="false" outlineLevel="0" collapsed="false">
      <c r="A111" s="15" t="s">
        <v>221</v>
      </c>
      <c r="B111" s="16" t="n">
        <v>23</v>
      </c>
      <c r="D111" s="14" t="s">
        <v>222</v>
      </c>
      <c r="E111" s="14"/>
    </row>
    <row r="112" customFormat="false" ht="15" hidden="false" customHeight="false" outlineLevel="0" collapsed="false">
      <c r="A112" s="15" t="s">
        <v>223</v>
      </c>
      <c r="B112" s="16" t="n">
        <v>0.085</v>
      </c>
      <c r="D112" s="14" t="s">
        <v>224</v>
      </c>
      <c r="E112" s="14"/>
    </row>
  </sheetData>
  <mergeCells count="100">
    <mergeCell ref="A1:E1"/>
    <mergeCell ref="D2:E2"/>
    <mergeCell ref="A4:E4"/>
    <mergeCell ref="D5:E5"/>
    <mergeCell ref="D6:E6"/>
    <mergeCell ref="D7:E7"/>
    <mergeCell ref="D8:E8"/>
    <mergeCell ref="D9:E9"/>
    <mergeCell ref="D10:E10"/>
    <mergeCell ref="A12:E12"/>
    <mergeCell ref="D13:E13"/>
    <mergeCell ref="D14:E14"/>
    <mergeCell ref="D15:E15"/>
    <mergeCell ref="D16:E16"/>
    <mergeCell ref="D17:E17"/>
    <mergeCell ref="A19:E19"/>
    <mergeCell ref="D20:E20"/>
    <mergeCell ref="D21:E21"/>
    <mergeCell ref="D22:E22"/>
    <mergeCell ref="D23:E23"/>
    <mergeCell ref="D24:E24"/>
    <mergeCell ref="D25:E25"/>
    <mergeCell ref="D26:E26"/>
    <mergeCell ref="D27:E27"/>
    <mergeCell ref="A29:E29"/>
    <mergeCell ref="D30:E30"/>
    <mergeCell ref="D31:E31"/>
    <mergeCell ref="D32:E32"/>
    <mergeCell ref="D33:E33"/>
    <mergeCell ref="D34:E34"/>
    <mergeCell ref="D35:E35"/>
    <mergeCell ref="D36:E36"/>
    <mergeCell ref="A38:E38"/>
    <mergeCell ref="D39:E39"/>
    <mergeCell ref="D40:E40"/>
    <mergeCell ref="D41:E41"/>
    <mergeCell ref="D42:E42"/>
    <mergeCell ref="D43:E43"/>
    <mergeCell ref="D44:E44"/>
    <mergeCell ref="D45:E45"/>
    <mergeCell ref="D46:E46"/>
    <mergeCell ref="D47:E47"/>
    <mergeCell ref="A49:E49"/>
    <mergeCell ref="D50:E50"/>
    <mergeCell ref="D51:E51"/>
    <mergeCell ref="D52:E52"/>
    <mergeCell ref="D53:E53"/>
    <mergeCell ref="D54:E54"/>
    <mergeCell ref="D55:E55"/>
    <mergeCell ref="D56:E56"/>
    <mergeCell ref="D57:E57"/>
    <mergeCell ref="D58:E58"/>
    <mergeCell ref="A60:E60"/>
    <mergeCell ref="D61:E61"/>
    <mergeCell ref="D62:E62"/>
    <mergeCell ref="D63:E63"/>
    <mergeCell ref="D64:E64"/>
    <mergeCell ref="D65:E65"/>
    <mergeCell ref="D66:E66"/>
    <mergeCell ref="D67:E67"/>
    <mergeCell ref="D68:E68"/>
    <mergeCell ref="D69:E69"/>
    <mergeCell ref="A71:E71"/>
    <mergeCell ref="D72:E72"/>
    <mergeCell ref="D73:E73"/>
    <mergeCell ref="D74:E74"/>
    <mergeCell ref="D75:E75"/>
    <mergeCell ref="D76:E76"/>
    <mergeCell ref="D77:E77"/>
    <mergeCell ref="D78:E78"/>
    <mergeCell ref="D79:E79"/>
    <mergeCell ref="A81:E81"/>
    <mergeCell ref="D82:E82"/>
    <mergeCell ref="D83:E83"/>
    <mergeCell ref="D84:E84"/>
    <mergeCell ref="D85:E85"/>
    <mergeCell ref="D86:E86"/>
    <mergeCell ref="D87:E87"/>
    <mergeCell ref="A89:E89"/>
    <mergeCell ref="D90:E90"/>
    <mergeCell ref="D91:E91"/>
    <mergeCell ref="D92:E92"/>
    <mergeCell ref="D93:E93"/>
    <mergeCell ref="D94:E94"/>
    <mergeCell ref="A96:E96"/>
    <mergeCell ref="D97:E97"/>
    <mergeCell ref="D98:E98"/>
    <mergeCell ref="D99:E99"/>
    <mergeCell ref="D100:E100"/>
    <mergeCell ref="A102:E102"/>
    <mergeCell ref="D103:E103"/>
    <mergeCell ref="D104:E104"/>
    <mergeCell ref="D105:E105"/>
    <mergeCell ref="D106:E106"/>
    <mergeCell ref="D107:E107"/>
    <mergeCell ref="D108:E108"/>
    <mergeCell ref="D109:E109"/>
    <mergeCell ref="D110:E110"/>
    <mergeCell ref="D111:E111"/>
    <mergeCell ref="D112:E112"/>
  </mergeCells>
  <dataValidations count="1">
    <dataValidation allowBlank="false" errorStyle="stop" operator="between" showDropDown="false" showErrorMessage="false" showInputMessage="false" sqref="B2" type="list">
      <formula1>"Normal,Flash Sale,Black Friday,Cyber Monday,DDoS"</formula1>
      <formula2>0</formula2>
    </dataValidation>
  </dataValidation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2"/>
  </cols>
  <sheetData>
    <row r="1" customFormat="false" ht="25.5" hidden="false" customHeight="true" outlineLevel="0" collapsed="false">
      <c r="A1" s="1" t="s">
        <v>225</v>
      </c>
      <c r="B1" s="1"/>
      <c r="C1" s="1"/>
      <c r="D1" s="1"/>
      <c r="E1" s="1"/>
    </row>
    <row r="3" customFormat="false" ht="19.5" hidden="false" customHeight="true" outlineLevel="0" collapsed="false">
      <c r="A3" s="18" t="s">
        <v>226</v>
      </c>
      <c r="B3" s="18" t="s">
        <v>227</v>
      </c>
      <c r="C3" s="18" t="s">
        <v>228</v>
      </c>
      <c r="D3" s="18" t="s">
        <v>229</v>
      </c>
      <c r="E3" s="18" t="s">
        <v>230</v>
      </c>
    </row>
    <row r="4" customFormat="false" ht="15" hidden="false" customHeight="false" outlineLevel="0" collapsed="false">
      <c r="A4" s="19" t="s">
        <v>231</v>
      </c>
      <c r="B4" s="20" t="s">
        <v>232</v>
      </c>
      <c r="C4" s="21" t="n">
        <f aca="false">MAU*DAU_PCT/100</f>
        <v>2000000</v>
      </c>
      <c r="D4" s="22" t="n">
        <f aca="false">C4</f>
        <v>2000000</v>
      </c>
      <c r="E4" s="23" t="s">
        <v>233</v>
      </c>
    </row>
    <row r="5" customFormat="false" ht="15" hidden="false" customHeight="false" outlineLevel="0" collapsed="false">
      <c r="A5" s="19" t="s">
        <v>234</v>
      </c>
      <c r="B5" s="20" t="s">
        <v>235</v>
      </c>
      <c r="C5" s="21" t="n">
        <f aca="false">DAU*PEAK_CONCURRENT_PCT/100</f>
        <v>400000</v>
      </c>
      <c r="D5" s="22" t="n">
        <f aca="false">C5</f>
        <v>400000</v>
      </c>
      <c r="E5" s="23" t="s">
        <v>236</v>
      </c>
    </row>
    <row r="6" customFormat="false" ht="22.35" hidden="false" customHeight="false" outlineLevel="0" collapsed="false">
      <c r="A6" s="19" t="s">
        <v>237</v>
      </c>
      <c r="B6" s="20" t="s">
        <v>238</v>
      </c>
      <c r="C6" s="24" t="n">
        <f aca="false">PCU*ACTIONS_PER_SESSION/PEAK_DURATION_SEC</f>
        <v>3333.33333333333</v>
      </c>
      <c r="D6" s="25" t="n">
        <f aca="false">C6</f>
        <v>3333.33333333333</v>
      </c>
      <c r="E6" s="23" t="s">
        <v>239</v>
      </c>
    </row>
    <row r="7" customFormat="false" ht="15" hidden="false" customHeight="false" outlineLevel="0" collapsed="false">
      <c r="A7" s="19" t="s">
        <v>240</v>
      </c>
      <c r="B7" s="20" t="s">
        <v>241</v>
      </c>
      <c r="C7" s="21" t="n">
        <f aca="false">Raw_RPS*SAFETY_BUFFER</f>
        <v>6666.66666666667</v>
      </c>
      <c r="D7" s="22" t="n">
        <f aca="false">C7</f>
        <v>6666.66666666667</v>
      </c>
      <c r="E7" s="23" t="s">
        <v>242</v>
      </c>
    </row>
    <row r="8" customFormat="false" ht="15" hidden="false" customHeight="false" outlineLevel="0" collapsed="false">
      <c r="A8" s="19" t="s">
        <v>243</v>
      </c>
      <c r="B8" s="20" t="s">
        <v>244</v>
      </c>
      <c r="C8" s="24" t="n">
        <f aca="false">DAU*ACTIONS_PER_SESSION</f>
        <v>60000000</v>
      </c>
      <c r="D8" s="25" t="n">
        <f aca="false">C8</f>
        <v>60000000</v>
      </c>
      <c r="E8" s="23"/>
    </row>
    <row r="9" customFormat="false" ht="15" hidden="false" customHeight="false" outlineLevel="0" collapsed="false">
      <c r="A9" s="19" t="s">
        <v>245</v>
      </c>
      <c r="B9" s="20" t="s">
        <v>246</v>
      </c>
      <c r="C9" s="24" t="n">
        <f aca="false">Daily_Requests*30</f>
        <v>1800000000</v>
      </c>
      <c r="D9" s="25" t="n">
        <f aca="false">C9</f>
        <v>1800000000</v>
      </c>
      <c r="E9" s="23"/>
    </row>
    <row r="10" customFormat="false" ht="15" hidden="false" customHeight="false" outlineLevel="0" collapsed="false">
      <c r="A10" s="19" t="s">
        <v>247</v>
      </c>
      <c r="B10" s="20" t="s">
        <v>248</v>
      </c>
      <c r="C10" s="24" t="n">
        <f aca="false">Peak_RPS*AVG_RESPONSE_SIZE_KB/1024</f>
        <v>325.520833333333</v>
      </c>
      <c r="D10" s="25" t="n">
        <f aca="false">C10</f>
        <v>325.520833333333</v>
      </c>
      <c r="E10" s="23"/>
    </row>
    <row r="11" customFormat="false" ht="15" hidden="false" customHeight="false" outlineLevel="0" collapsed="false">
      <c r="A11" s="19" t="s">
        <v>249</v>
      </c>
      <c r="B11" s="20" t="s">
        <v>250</v>
      </c>
      <c r="C11" s="24" t="n">
        <f aca="false">Peak_Bandwidth_MBps*8/1000</f>
        <v>2.60416666666667</v>
      </c>
      <c r="D11" s="25" t="n">
        <f aca="false">C11</f>
        <v>2.60416666666667</v>
      </c>
      <c r="E11" s="23"/>
    </row>
    <row r="12" customFormat="false" ht="22.35" hidden="false" customHeight="false" outlineLevel="0" collapsed="false">
      <c r="A12" s="19" t="s">
        <v>251</v>
      </c>
      <c r="B12" s="20" t="s">
        <v>252</v>
      </c>
      <c r="C12" s="24" t="n">
        <f aca="false">Daily_Requests*AVG_RESPONSE_SIZE_KB/1024/1024</f>
        <v>2861.02294921875</v>
      </c>
      <c r="D12" s="25" t="n">
        <f aca="false">C12</f>
        <v>2861.02294921875</v>
      </c>
      <c r="E12" s="23"/>
    </row>
    <row r="13" customFormat="false" ht="15" hidden="false" customHeight="false" outlineLevel="0" collapsed="false">
      <c r="A13" s="19" t="s">
        <v>253</v>
      </c>
      <c r="B13" s="20" t="s">
        <v>254</v>
      </c>
      <c r="C13" s="21" t="n">
        <f aca="false">Daily_Egress_GB*30/1024</f>
        <v>83.8190317153931</v>
      </c>
      <c r="D13" s="22" t="n">
        <f aca="false">C13</f>
        <v>83.8190317153931</v>
      </c>
      <c r="E13" s="23" t="s">
        <v>255</v>
      </c>
    </row>
    <row r="15" customFormat="false" ht="60" hidden="false" customHeight="true" outlineLevel="0" collapsed="false">
      <c r="A15" s="26" t="s">
        <v>256</v>
      </c>
      <c r="B15" s="26"/>
      <c r="C15" s="26"/>
      <c r="D15" s="26"/>
      <c r="E15" s="26"/>
    </row>
  </sheetData>
  <mergeCells count="2">
    <mergeCell ref="A1:E1"/>
    <mergeCell ref="A15:E15"/>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2"/>
  </cols>
  <sheetData>
    <row r="1" customFormat="false" ht="25.5" hidden="false" customHeight="true" outlineLevel="0" collapsed="false">
      <c r="A1" s="1" t="s">
        <v>257</v>
      </c>
      <c r="B1" s="1"/>
      <c r="C1" s="1"/>
      <c r="D1" s="1"/>
      <c r="E1" s="1"/>
    </row>
    <row r="3" customFormat="false" ht="18" hidden="false" customHeight="true" outlineLevel="0" collapsed="false">
      <c r="A3" s="2" t="s">
        <v>258</v>
      </c>
      <c r="B3" s="2"/>
      <c r="C3" s="2"/>
      <c r="D3" s="2"/>
      <c r="E3" s="2"/>
    </row>
    <row r="4" customFormat="false" ht="15" hidden="false" customHeight="false" outlineLevel="0" collapsed="false">
      <c r="A4" s="27" t="s">
        <v>259</v>
      </c>
      <c r="B4" s="4" t="n">
        <v>2</v>
      </c>
      <c r="D4" s="14" t="s">
        <v>260</v>
      </c>
      <c r="E4" s="14"/>
    </row>
    <row r="5" customFormat="false" ht="15" hidden="false" customHeight="false" outlineLevel="0" collapsed="false">
      <c r="A5" s="27" t="s">
        <v>261</v>
      </c>
      <c r="B5" s="4" t="n">
        <v>98</v>
      </c>
      <c r="D5" s="14" t="s">
        <v>262</v>
      </c>
      <c r="E5" s="14"/>
    </row>
    <row r="6" customFormat="false" ht="15" hidden="false" customHeight="false" outlineLevel="0" collapsed="false">
      <c r="A6" s="27" t="s">
        <v>263</v>
      </c>
      <c r="B6" s="4" t="n">
        <v>5000</v>
      </c>
      <c r="D6" s="14" t="s">
        <v>264</v>
      </c>
      <c r="E6" s="14"/>
    </row>
    <row r="7" customFormat="false" ht="15" hidden="false" customHeight="false" outlineLevel="0" collapsed="false">
      <c r="A7" s="27" t="s">
        <v>265</v>
      </c>
      <c r="B7" s="4" t="n">
        <v>200</v>
      </c>
      <c r="D7" s="14" t="s">
        <v>266</v>
      </c>
      <c r="E7" s="14"/>
    </row>
    <row r="8" customFormat="false" ht="15" hidden="false" customHeight="false" outlineLevel="0" collapsed="false">
      <c r="A8" s="27" t="s">
        <v>267</v>
      </c>
      <c r="B8" s="4" t="n">
        <v>70</v>
      </c>
      <c r="D8" s="14" t="s">
        <v>268</v>
      </c>
      <c r="E8" s="14"/>
    </row>
    <row r="9" customFormat="false" ht="15" hidden="false" customHeight="false" outlineLevel="0" collapsed="false">
      <c r="A9" s="27" t="s">
        <v>269</v>
      </c>
      <c r="B9" s="4" t="n">
        <v>40</v>
      </c>
      <c r="D9" s="14" t="s">
        <v>270</v>
      </c>
      <c r="E9" s="14"/>
    </row>
    <row r="11" customFormat="false" ht="19.5" hidden="false" customHeight="true" outlineLevel="0" collapsed="false">
      <c r="A11" s="18" t="s">
        <v>226</v>
      </c>
      <c r="B11" s="18" t="s">
        <v>227</v>
      </c>
      <c r="C11" s="18" t="s">
        <v>228</v>
      </c>
      <c r="D11" s="18" t="s">
        <v>229</v>
      </c>
      <c r="E11" s="18" t="s">
        <v>230</v>
      </c>
    </row>
    <row r="12" customFormat="false" ht="15" hidden="false" customHeight="false" outlineLevel="0" collapsed="false">
      <c r="A12" s="19" t="s">
        <v>271</v>
      </c>
      <c r="B12" s="20" t="s">
        <v>272</v>
      </c>
      <c r="C12" s="24" t="n">
        <f aca="false">DAU*Static_Asset_MB_Per_User/1024</f>
        <v>3906.25</v>
      </c>
      <c r="D12" s="25" t="n">
        <f aca="false">C12</f>
        <v>3906.25</v>
      </c>
      <c r="E12" s="23"/>
    </row>
    <row r="13" customFormat="false" ht="15" hidden="false" customHeight="false" outlineLevel="0" collapsed="false">
      <c r="A13" s="19" t="s">
        <v>273</v>
      </c>
      <c r="B13" s="20" t="s">
        <v>274</v>
      </c>
      <c r="C13" s="21" t="n">
        <f aca="false">C12*(1-CDN_Cache_Hit_Ratio_Pct/100)</f>
        <v>78.1250000000001</v>
      </c>
      <c r="D13" s="22" t="n">
        <f aca="false">C13</f>
        <v>78.1250000000001</v>
      </c>
      <c r="E13" s="23" t="s">
        <v>275</v>
      </c>
    </row>
    <row r="14" customFormat="false" ht="22.35" hidden="false" customHeight="false" outlineLevel="0" collapsed="false">
      <c r="A14" s="19" t="s">
        <v>276</v>
      </c>
      <c r="B14" s="20" t="s">
        <v>277</v>
      </c>
      <c r="C14" s="24" t="n">
        <f aca="false">ROUNDUP(Peak_RPS/Edge_Node_Capacity_RPS,0)</f>
        <v>2</v>
      </c>
      <c r="D14" s="25" t="n">
        <f aca="false">C14</f>
        <v>2</v>
      </c>
      <c r="E14" s="23"/>
    </row>
    <row r="15" customFormat="false" ht="15" hidden="false" customHeight="false" outlineLevel="0" collapsed="false">
      <c r="A15" s="19" t="s">
        <v>278</v>
      </c>
      <c r="B15" s="20" t="s">
        <v>279</v>
      </c>
      <c r="C15" s="24" t="n">
        <f aca="false">Peak_RPS*Static_Asset_MB_Per_User*8/1024/1000</f>
        <v>0.104166666666667</v>
      </c>
      <c r="D15" s="25" t="n">
        <f aca="false">C15</f>
        <v>0.104166666666667</v>
      </c>
      <c r="E15" s="23"/>
    </row>
    <row r="16" customFormat="false" ht="22.35" hidden="false" customHeight="false" outlineLevel="0" collapsed="false">
      <c r="A16" s="19" t="s">
        <v>280</v>
      </c>
      <c r="B16" s="20" t="s">
        <v>281</v>
      </c>
      <c r="C16" s="21" t="n">
        <f aca="false">C15*(1-Compression_Reduction_Pct/100)</f>
        <v>0.03125</v>
      </c>
      <c r="D16" s="22" t="n">
        <f aca="false">C16</f>
        <v>0.03125</v>
      </c>
      <c r="E16" s="23" t="s">
        <v>282</v>
      </c>
    </row>
    <row r="17" customFormat="false" ht="15" hidden="false" customHeight="false" outlineLevel="0" collapsed="false">
      <c r="A17" s="19" t="s">
        <v>283</v>
      </c>
      <c r="B17" s="20" t="s">
        <v>284</v>
      </c>
      <c r="C17" s="24" t="n">
        <f aca="false">Peak_RPS*Service_Worker_Hit_Pct/100</f>
        <v>2666.66666666667</v>
      </c>
      <c r="D17" s="25" t="n">
        <f aca="false">C17</f>
        <v>2666.66666666667</v>
      </c>
      <c r="E17" s="23" t="s">
        <v>285</v>
      </c>
    </row>
    <row r="18" customFormat="false" ht="22.35" hidden="false" customHeight="false" outlineLevel="0" collapsed="false">
      <c r="A18" s="19" t="s">
        <v>286</v>
      </c>
      <c r="B18" s="20" t="s">
        <v>287</v>
      </c>
      <c r="C18" s="21" t="n">
        <f aca="false">Peak_RPS*(1-CDN_Cache_Hit_Ratio_Pct/100)</f>
        <v>133.333333333333</v>
      </c>
      <c r="D18" s="22" t="n">
        <f aca="false">C18</f>
        <v>133.333333333333</v>
      </c>
      <c r="E18" s="23" t="s">
        <v>288</v>
      </c>
    </row>
    <row r="20" customFormat="false" ht="60" hidden="false" customHeight="true" outlineLevel="0" collapsed="false">
      <c r="A20" s="26" t="s">
        <v>289</v>
      </c>
      <c r="B20" s="26"/>
      <c r="C20" s="26"/>
      <c r="D20" s="26"/>
      <c r="E20" s="26"/>
    </row>
  </sheetData>
  <mergeCells count="9">
    <mergeCell ref="A1:E1"/>
    <mergeCell ref="A3:E3"/>
    <mergeCell ref="D4:E4"/>
    <mergeCell ref="D5:E5"/>
    <mergeCell ref="D6:E6"/>
    <mergeCell ref="D7:E7"/>
    <mergeCell ref="D8:E8"/>
    <mergeCell ref="D9:E9"/>
    <mergeCell ref="A20:E20"/>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4"/>
    <col collapsed="false" customWidth="true" hidden="false" outlineLevel="0" max="3" min="3" style="0" width="20"/>
    <col collapsed="false" customWidth="true" hidden="false" outlineLevel="0" max="4" min="4" style="0" width="16"/>
    <col collapsed="false" customWidth="true" hidden="false" outlineLevel="0" max="5" min="5" style="0" width="42"/>
  </cols>
  <sheetData>
    <row r="1" customFormat="false" ht="25.5" hidden="false" customHeight="true" outlineLevel="0" collapsed="false">
      <c r="A1" s="1" t="s">
        <v>290</v>
      </c>
      <c r="B1" s="1"/>
      <c r="C1" s="1"/>
      <c r="D1" s="1"/>
      <c r="E1" s="1"/>
    </row>
    <row r="3" customFormat="false" ht="18" hidden="false" customHeight="true" outlineLevel="0" collapsed="false">
      <c r="A3" s="2" t="s">
        <v>291</v>
      </c>
      <c r="B3" s="2"/>
      <c r="C3" s="2"/>
      <c r="D3" s="2"/>
      <c r="E3" s="2"/>
    </row>
    <row r="4" customFormat="false" ht="19.5" hidden="false" customHeight="true" outlineLevel="0" collapsed="false">
      <c r="A4" s="18" t="s">
        <v>226</v>
      </c>
      <c r="B4" s="18" t="s">
        <v>227</v>
      </c>
      <c r="C4" s="18" t="s">
        <v>228</v>
      </c>
      <c r="D4" s="18" t="s">
        <v>229</v>
      </c>
      <c r="E4" s="18" t="s">
        <v>230</v>
      </c>
    </row>
    <row r="5" customFormat="false" ht="22.35" hidden="false" customHeight="false" outlineLevel="0" collapsed="false">
      <c r="A5" s="19" t="s">
        <v>292</v>
      </c>
      <c r="B5" s="20" t="s">
        <v>293</v>
      </c>
      <c r="C5" s="24" t="n">
        <f aca="false">Gateway_RPS_Capacity*Gateway_CPU_Util_Target/100</f>
        <v>1800</v>
      </c>
      <c r="D5" s="25" t="n">
        <f aca="false">C5</f>
        <v>1800</v>
      </c>
      <c r="E5" s="23"/>
    </row>
    <row r="6" customFormat="false" ht="15" hidden="false" customHeight="false" outlineLevel="0" collapsed="false">
      <c r="A6" s="19" t="s">
        <v>294</v>
      </c>
      <c r="B6" s="20" t="s">
        <v>295</v>
      </c>
      <c r="C6" s="24" t="n">
        <f aca="false">ROUNDUP(Peak_RPS/Gateway_Effective_RPS,0)</f>
        <v>4</v>
      </c>
      <c r="D6" s="25" t="n">
        <f aca="false">C6</f>
        <v>4</v>
      </c>
      <c r="E6" s="23"/>
    </row>
    <row r="7" customFormat="false" ht="15" hidden="false" customHeight="false" outlineLevel="0" collapsed="false">
      <c r="A7" s="19" t="s">
        <v>296</v>
      </c>
      <c r="B7" s="20" t="s">
        <v>297</v>
      </c>
      <c r="C7" s="28" t="n">
        <f aca="false">3</f>
        <v>3</v>
      </c>
      <c r="D7" s="29" t="n">
        <f aca="false">C7</f>
        <v>3</v>
      </c>
      <c r="E7" s="23" t="s">
        <v>298</v>
      </c>
    </row>
    <row r="8" customFormat="false" ht="15" hidden="false" customHeight="false" outlineLevel="0" collapsed="false">
      <c r="A8" s="19" t="s">
        <v>299</v>
      </c>
      <c r="B8" s="20" t="s">
        <v>300</v>
      </c>
      <c r="C8" s="24" t="n">
        <f aca="false">ROUNDUP(C6/Gateway_AZs,0)+1</f>
        <v>3</v>
      </c>
      <c r="D8" s="25" t="n">
        <f aca="false">C8</f>
        <v>3</v>
      </c>
      <c r="E8" s="23"/>
    </row>
    <row r="9" customFormat="false" ht="22.35" hidden="false" customHeight="false" outlineLevel="0" collapsed="false">
      <c r="A9" s="19" t="s">
        <v>301</v>
      </c>
      <c r="B9" s="20" t="s">
        <v>302</v>
      </c>
      <c r="C9" s="21" t="n">
        <f aca="false">C8*Gateway_AZs</f>
        <v>9</v>
      </c>
      <c r="D9" s="22" t="n">
        <f aca="false">C9</f>
        <v>9</v>
      </c>
      <c r="E9" s="23" t="s">
        <v>303</v>
      </c>
    </row>
    <row r="10" customFormat="false" ht="22.35" hidden="false" customHeight="false" outlineLevel="0" collapsed="false">
      <c r="A10" s="19" t="s">
        <v>304</v>
      </c>
      <c r="B10" s="20" t="s">
        <v>305</v>
      </c>
      <c r="C10" s="21" t="n">
        <f aca="false">Gateway_Overhead_ms+SSL_Handshake_ms*SSL_Rate_Pct/100</f>
        <v>3.5</v>
      </c>
      <c r="D10" s="22" t="n">
        <f aca="false">C10</f>
        <v>3.5</v>
      </c>
      <c r="E10" s="23"/>
    </row>
    <row r="11" customFormat="false" ht="15" hidden="false" customHeight="false" outlineLevel="0" collapsed="false">
      <c r="A11" s="19" t="s">
        <v>306</v>
      </c>
      <c r="B11" s="20" t="s">
        <v>307</v>
      </c>
      <c r="C11" s="24" t="n">
        <f aca="false">Gateway_Instances_Sized*Cores_Per_App_Instance</f>
        <v>36</v>
      </c>
      <c r="D11" s="25" t="n">
        <f aca="false">C11</f>
        <v>36</v>
      </c>
      <c r="E11" s="23"/>
    </row>
    <row r="13" customFormat="false" ht="18" hidden="false" customHeight="true" outlineLevel="0" collapsed="false">
      <c r="A13" s="2" t="s">
        <v>308</v>
      </c>
      <c r="B13" s="2"/>
      <c r="C13" s="2"/>
      <c r="D13" s="2"/>
      <c r="E13" s="2"/>
    </row>
    <row r="14" customFormat="false" ht="19.5" hidden="false" customHeight="true" outlineLevel="0" collapsed="false">
      <c r="A14" s="18" t="s">
        <v>226</v>
      </c>
      <c r="B14" s="18" t="s">
        <v>227</v>
      </c>
      <c r="C14" s="18" t="s">
        <v>228</v>
      </c>
      <c r="D14" s="18" t="s">
        <v>229</v>
      </c>
      <c r="E14" s="18" t="s">
        <v>230</v>
      </c>
    </row>
    <row r="15" customFormat="false" ht="15" hidden="false" customHeight="false" outlineLevel="0" collapsed="false">
      <c r="A15" s="19" t="s">
        <v>309</v>
      </c>
      <c r="B15" s="20" t="s">
        <v>310</v>
      </c>
      <c r="C15" s="24" t="n">
        <f aca="false">Peak_RPS*2</f>
        <v>13333.3333333333</v>
      </c>
      <c r="D15" s="25" t="n">
        <f aca="false">C15</f>
        <v>13333.3333333333</v>
      </c>
      <c r="E15" s="23"/>
    </row>
    <row r="16" customFormat="false" ht="15" hidden="false" customHeight="false" outlineLevel="0" collapsed="false">
      <c r="A16" s="19" t="s">
        <v>311</v>
      </c>
      <c r="B16" s="20" t="s">
        <v>312</v>
      </c>
      <c r="C16" s="24" t="n">
        <f aca="false">DAU*200/1024/1024</f>
        <v>381.4697265625</v>
      </c>
      <c r="D16" s="25" t="n">
        <f aca="false">C16</f>
        <v>381.4697265625</v>
      </c>
      <c r="E16" s="23"/>
    </row>
    <row r="17" customFormat="false" ht="15" hidden="false" customHeight="false" outlineLevel="0" collapsed="false">
      <c r="A17" s="19" t="s">
        <v>313</v>
      </c>
      <c r="B17" s="20" t="s">
        <v>314</v>
      </c>
      <c r="C17" s="28" t="n">
        <f aca="false">0.5</f>
        <v>0.5</v>
      </c>
      <c r="D17" s="29" t="n">
        <f aca="false">C17</f>
        <v>0.5</v>
      </c>
      <c r="E17" s="23" t="s">
        <v>315</v>
      </c>
    </row>
    <row r="19" customFormat="false" ht="19.5" hidden="false" customHeight="true" outlineLevel="0" collapsed="false">
      <c r="A19" s="30" t="s">
        <v>316</v>
      </c>
      <c r="B19" s="30" t="s">
        <v>317</v>
      </c>
      <c r="C19" s="30" t="s">
        <v>318</v>
      </c>
      <c r="D19" s="30" t="s">
        <v>319</v>
      </c>
      <c r="E19" s="30" t="s">
        <v>320</v>
      </c>
    </row>
    <row r="20" customFormat="false" ht="15" hidden="false" customHeight="false" outlineLevel="0" collapsed="false">
      <c r="A20" s="15" t="s">
        <v>321</v>
      </c>
      <c r="B20" s="31" t="n">
        <f aca="false">Rate_Limit_Anonymous_RPM</f>
        <v>10</v>
      </c>
      <c r="C20" s="15" t="s">
        <v>322</v>
      </c>
      <c r="D20" s="15" t="s">
        <v>323</v>
      </c>
      <c r="E20" s="15" t="s">
        <v>324</v>
      </c>
    </row>
    <row r="21" customFormat="false" ht="15" hidden="false" customHeight="false" outlineLevel="0" collapsed="false">
      <c r="A21" s="15" t="s">
        <v>325</v>
      </c>
      <c r="B21" s="31" t="n">
        <f aca="false">Rate_Limit_User_RPM</f>
        <v>100</v>
      </c>
      <c r="C21" s="15" t="s">
        <v>326</v>
      </c>
      <c r="D21" s="15" t="s">
        <v>327</v>
      </c>
      <c r="E21" s="15" t="s">
        <v>328</v>
      </c>
    </row>
    <row r="22" customFormat="false" ht="15" hidden="false" customHeight="false" outlineLevel="0" collapsed="false">
      <c r="A22" s="15" t="s">
        <v>329</v>
      </c>
      <c r="B22" s="31" t="n">
        <f aca="false">Rate_Limit_Premium_RPM</f>
        <v>500</v>
      </c>
      <c r="C22" s="15" t="s">
        <v>330</v>
      </c>
      <c r="D22" s="15" t="s">
        <v>327</v>
      </c>
      <c r="E22" s="15" t="s">
        <v>328</v>
      </c>
    </row>
    <row r="23" customFormat="false" ht="15" hidden="false" customHeight="false" outlineLevel="0" collapsed="false">
      <c r="A23" s="15" t="s">
        <v>331</v>
      </c>
      <c r="B23" s="15" t="s">
        <v>332</v>
      </c>
      <c r="C23" s="15" t="s">
        <v>333</v>
      </c>
      <c r="D23" s="15" t="s">
        <v>333</v>
      </c>
      <c r="E23" s="15" t="s">
        <v>334</v>
      </c>
    </row>
    <row r="25" customFormat="false" ht="18" hidden="false" customHeight="true" outlineLevel="0" collapsed="false">
      <c r="A25" s="2" t="s">
        <v>335</v>
      </c>
      <c r="B25" s="2"/>
      <c r="C25" s="2"/>
      <c r="D25" s="2"/>
      <c r="E25" s="2"/>
    </row>
    <row r="26" customFormat="false" ht="19.5" hidden="false" customHeight="true" outlineLevel="0" collapsed="false">
      <c r="A26" s="18" t="s">
        <v>226</v>
      </c>
      <c r="B26" s="18" t="s">
        <v>227</v>
      </c>
      <c r="C26" s="18" t="s">
        <v>228</v>
      </c>
      <c r="D26" s="18" t="s">
        <v>229</v>
      </c>
      <c r="E26" s="18" t="s">
        <v>230</v>
      </c>
    </row>
    <row r="27" customFormat="false" ht="15" hidden="false" customHeight="false" outlineLevel="0" collapsed="false">
      <c r="A27" s="19" t="s">
        <v>336</v>
      </c>
      <c r="B27" s="20" t="s">
        <v>337</v>
      </c>
      <c r="C27" s="24" t="n">
        <f aca="false">Peak_RPS</f>
        <v>6666.66666666667</v>
      </c>
      <c r="D27" s="25" t="n">
        <f aca="false">C27</f>
        <v>6666.66666666667</v>
      </c>
      <c r="E27" s="23"/>
    </row>
    <row r="28" customFormat="false" ht="15" hidden="false" customHeight="false" outlineLevel="0" collapsed="false">
      <c r="A28" s="19" t="s">
        <v>338</v>
      </c>
      <c r="B28" s="20" t="s">
        <v>339</v>
      </c>
      <c r="C28" s="24" t="n">
        <f aca="false">Peak_RPS*0.5/1000</f>
        <v>3.33333333333333</v>
      </c>
      <c r="D28" s="25" t="n">
        <f aca="false">C28</f>
        <v>3.33333333333333</v>
      </c>
      <c r="E28" s="23"/>
    </row>
    <row r="29" customFormat="false" ht="15" hidden="false" customHeight="false" outlineLevel="0" collapsed="false">
      <c r="A29" s="19" t="s">
        <v>340</v>
      </c>
      <c r="B29" s="20" t="s">
        <v>341</v>
      </c>
      <c r="C29" s="28" t="n">
        <f aca="false">1</f>
        <v>1</v>
      </c>
      <c r="D29" s="29" t="n">
        <f aca="false">C29</f>
        <v>1</v>
      </c>
      <c r="E29" s="23" t="s">
        <v>342</v>
      </c>
    </row>
    <row r="31" customFormat="false" ht="18" hidden="false" customHeight="true" outlineLevel="0" collapsed="false">
      <c r="A31" s="2" t="s">
        <v>343</v>
      </c>
      <c r="B31" s="2"/>
      <c r="C31" s="2"/>
      <c r="D31" s="2"/>
      <c r="E31" s="2"/>
    </row>
    <row r="32" customFormat="false" ht="19.5" hidden="false" customHeight="true" outlineLevel="0" collapsed="false">
      <c r="A32" s="30" t="s">
        <v>344</v>
      </c>
      <c r="B32" s="30" t="s">
        <v>345</v>
      </c>
      <c r="C32" s="30" t="s">
        <v>346</v>
      </c>
      <c r="D32" s="30" t="s">
        <v>347</v>
      </c>
      <c r="E32" s="30" t="s">
        <v>348</v>
      </c>
    </row>
    <row r="33" customFormat="false" ht="15" hidden="false" customHeight="false" outlineLevel="0" collapsed="false">
      <c r="A33" s="32" t="s">
        <v>349</v>
      </c>
      <c r="B33" s="32" t="n">
        <v>50</v>
      </c>
      <c r="C33" s="32" t="n">
        <v>10</v>
      </c>
      <c r="D33" s="32" t="n">
        <v>30</v>
      </c>
      <c r="E33" s="32" t="n">
        <v>1</v>
      </c>
    </row>
    <row r="34" customFormat="false" ht="15" hidden="false" customHeight="false" outlineLevel="0" collapsed="false">
      <c r="A34" s="32" t="s">
        <v>350</v>
      </c>
      <c r="B34" s="32" t="n">
        <v>25</v>
      </c>
      <c r="C34" s="32" t="n">
        <v>10</v>
      </c>
      <c r="D34" s="32" t="n">
        <v>60</v>
      </c>
      <c r="E34" s="32" t="n">
        <v>1</v>
      </c>
    </row>
    <row r="35" customFormat="false" ht="15" hidden="false" customHeight="false" outlineLevel="0" collapsed="false">
      <c r="A35" s="32" t="s">
        <v>351</v>
      </c>
      <c r="B35" s="32" t="n">
        <v>50</v>
      </c>
      <c r="C35" s="32" t="n">
        <v>10</v>
      </c>
      <c r="D35" s="32" t="n">
        <v>30</v>
      </c>
      <c r="E35" s="32" t="n">
        <v>2</v>
      </c>
    </row>
    <row r="36" customFormat="false" ht="15" hidden="false" customHeight="false" outlineLevel="0" collapsed="false">
      <c r="A36" s="32" t="s">
        <v>352</v>
      </c>
      <c r="B36" s="32" t="n">
        <v>70</v>
      </c>
      <c r="C36" s="32" t="n">
        <v>10</v>
      </c>
      <c r="D36" s="32" t="n">
        <v>15</v>
      </c>
      <c r="E36" s="32" t="n">
        <v>3</v>
      </c>
    </row>
    <row r="38" customFormat="false" ht="15" hidden="false" customHeight="false" outlineLevel="0" collapsed="false">
      <c r="A38" s="14" t="s">
        <v>353</v>
      </c>
      <c r="B38" s="14"/>
      <c r="C38" s="14"/>
      <c r="D38" s="14"/>
      <c r="E38" s="14"/>
    </row>
    <row r="40" customFormat="false" ht="18" hidden="false" customHeight="true" outlineLevel="0" collapsed="false">
      <c r="A40" s="2" t="s">
        <v>354</v>
      </c>
      <c r="B40" s="2"/>
      <c r="C40" s="2"/>
      <c r="D40" s="2"/>
      <c r="E40" s="2"/>
    </row>
    <row r="41" customFormat="false" ht="19.5" hidden="false" customHeight="true" outlineLevel="0" collapsed="false">
      <c r="A41" s="18" t="s">
        <v>226</v>
      </c>
      <c r="B41" s="18" t="s">
        <v>227</v>
      </c>
      <c r="C41" s="18" t="s">
        <v>228</v>
      </c>
      <c r="D41" s="18" t="s">
        <v>229</v>
      </c>
      <c r="E41" s="18" t="s">
        <v>230</v>
      </c>
    </row>
    <row r="42" customFormat="false" ht="15" hidden="false" customHeight="false" outlineLevel="0" collapsed="false">
      <c r="A42" s="19" t="s">
        <v>355</v>
      </c>
      <c r="B42" s="20" t="s">
        <v>356</v>
      </c>
      <c r="C42" s="24" t="n">
        <f aca="false">PCU*0.05</f>
        <v>20000</v>
      </c>
      <c r="D42" s="25" t="n">
        <f aca="false">C42</f>
        <v>20000</v>
      </c>
      <c r="E42" s="23"/>
    </row>
    <row r="43" customFormat="false" ht="15" hidden="false" customHeight="false" outlineLevel="0" collapsed="false">
      <c r="A43" s="19" t="s">
        <v>357</v>
      </c>
      <c r="B43" s="20" t="s">
        <v>358</v>
      </c>
      <c r="C43" s="24" t="n">
        <f aca="false">PCU*0.1</f>
        <v>40000</v>
      </c>
      <c r="D43" s="25" t="n">
        <f aca="false">C43</f>
        <v>40000</v>
      </c>
      <c r="E43" s="23"/>
    </row>
    <row r="44" customFormat="false" ht="15" hidden="false" customHeight="false" outlineLevel="0" collapsed="false">
      <c r="A44" s="19" t="s">
        <v>359</v>
      </c>
      <c r="B44" s="20" t="s">
        <v>360</v>
      </c>
      <c r="C44" s="21" t="n">
        <f aca="false">C42*64/1024</f>
        <v>1250</v>
      </c>
      <c r="D44" s="22" t="n">
        <f aca="false">C44</f>
        <v>1250</v>
      </c>
      <c r="E44" s="23"/>
    </row>
    <row r="46" customFormat="false" ht="60" hidden="false" customHeight="true" outlineLevel="0" collapsed="false">
      <c r="A46" s="26" t="s">
        <v>361</v>
      </c>
      <c r="B46" s="26"/>
      <c r="C46" s="26"/>
      <c r="D46" s="26"/>
      <c r="E46" s="26"/>
    </row>
  </sheetData>
  <mergeCells count="8">
    <mergeCell ref="A1:E1"/>
    <mergeCell ref="A3:E3"/>
    <mergeCell ref="A13:E13"/>
    <mergeCell ref="A25:E25"/>
    <mergeCell ref="A31:E31"/>
    <mergeCell ref="A38:E38"/>
    <mergeCell ref="A40:E40"/>
    <mergeCell ref="A46:E46"/>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2"/>
  </cols>
  <sheetData>
    <row r="1" customFormat="false" ht="25.5" hidden="false" customHeight="true" outlineLevel="0" collapsed="false">
      <c r="A1" s="1" t="s">
        <v>362</v>
      </c>
      <c r="B1" s="1"/>
      <c r="C1" s="1"/>
      <c r="D1" s="1"/>
      <c r="E1" s="1"/>
    </row>
    <row r="3" customFormat="false" ht="19.5" hidden="false" customHeight="true" outlineLevel="0" collapsed="false">
      <c r="A3" s="18" t="s">
        <v>226</v>
      </c>
      <c r="B3" s="18" t="s">
        <v>227</v>
      </c>
      <c r="C3" s="18" t="s">
        <v>228</v>
      </c>
      <c r="D3" s="18" t="s">
        <v>229</v>
      </c>
      <c r="E3" s="18" t="s">
        <v>230</v>
      </c>
    </row>
    <row r="4" customFormat="false" ht="22.35" hidden="false" customHeight="false" outlineLevel="0" collapsed="false">
      <c r="A4" s="19" t="s">
        <v>363</v>
      </c>
      <c r="B4" s="20" t="s">
        <v>364</v>
      </c>
      <c r="C4" s="21" t="str">
        <f aca="false">"NLB (L4) + ALB (L7)"</f>
        <v>NLB (L4) + ALB (L7)</v>
      </c>
      <c r="D4" s="22" t="str">
        <f aca="false">C4</f>
        <v>NLB (L4) + ALB (L7)</v>
      </c>
      <c r="E4" s="23" t="s">
        <v>365</v>
      </c>
    </row>
    <row r="5" customFormat="false" ht="15" hidden="false" customHeight="false" outlineLevel="0" collapsed="false">
      <c r="A5" s="19" t="s">
        <v>366</v>
      </c>
      <c r="B5" s="20" t="s">
        <v>367</v>
      </c>
      <c r="C5" s="28" t="n">
        <f aca="false">2</f>
        <v>2</v>
      </c>
      <c r="D5" s="29" t="n">
        <f aca="false">C5</f>
        <v>2</v>
      </c>
      <c r="E5" s="23"/>
    </row>
    <row r="6" customFormat="false" ht="15" hidden="false" customHeight="false" outlineLevel="0" collapsed="false">
      <c r="A6" s="19" t="s">
        <v>368</v>
      </c>
      <c r="B6" s="20" t="s">
        <v>369</v>
      </c>
      <c r="C6" s="24" t="n">
        <f aca="false">Peak_RPS*2</f>
        <v>13333.3333333333</v>
      </c>
      <c r="D6" s="25" t="n">
        <f aca="false">C6</f>
        <v>13333.3333333333</v>
      </c>
      <c r="E6" s="23"/>
    </row>
    <row r="7" customFormat="false" ht="15" hidden="false" customHeight="false" outlineLevel="0" collapsed="false">
      <c r="A7" s="19" t="s">
        <v>370</v>
      </c>
      <c r="B7" s="20" t="s">
        <v>371</v>
      </c>
      <c r="C7" s="24" t="n">
        <f aca="false">Peak_RPS*SSL_Rate_Pct/100</f>
        <v>666.666666666667</v>
      </c>
      <c r="D7" s="25" t="n">
        <f aca="false">C7</f>
        <v>666.666666666667</v>
      </c>
      <c r="E7" s="23"/>
    </row>
    <row r="8" customFormat="false" ht="15" hidden="false" customHeight="false" outlineLevel="0" collapsed="false">
      <c r="A8" s="19" t="s">
        <v>372</v>
      </c>
      <c r="B8" s="20" t="s">
        <v>297</v>
      </c>
      <c r="C8" s="33" t="n">
        <f aca="false">LB_Forward_ms</f>
        <v>2</v>
      </c>
      <c r="D8" s="22" t="n">
        <f aca="false">C8</f>
        <v>2</v>
      </c>
      <c r="E8" s="23"/>
    </row>
    <row r="9" customFormat="false" ht="15" hidden="false" customHeight="false" outlineLevel="0" collapsed="false">
      <c r="A9" s="19" t="s">
        <v>373</v>
      </c>
      <c r="B9" s="20" t="s">
        <v>374</v>
      </c>
      <c r="C9" s="28" t="n">
        <f aca="false">5</f>
        <v>5</v>
      </c>
      <c r="D9" s="29" t="n">
        <f aca="false">C9</f>
        <v>5</v>
      </c>
      <c r="E9" s="23" t="s">
        <v>375</v>
      </c>
    </row>
    <row r="10" customFormat="false" ht="15" hidden="false" customHeight="false" outlineLevel="0" collapsed="false">
      <c r="A10" s="19" t="s">
        <v>376</v>
      </c>
      <c r="B10" s="20" t="s">
        <v>377</v>
      </c>
      <c r="C10" s="28" t="n">
        <f aca="false">5</f>
        <v>5</v>
      </c>
      <c r="D10" s="29" t="n">
        <f aca="false">C10</f>
        <v>5</v>
      </c>
      <c r="E10" s="23"/>
    </row>
    <row r="11" customFormat="false" ht="15" hidden="false" customHeight="false" outlineLevel="0" collapsed="false">
      <c r="A11" s="19" t="s">
        <v>378</v>
      </c>
      <c r="B11" s="20" t="s">
        <v>379</v>
      </c>
      <c r="C11" s="28" t="n">
        <f aca="false">30</f>
        <v>30</v>
      </c>
      <c r="D11" s="29" t="n">
        <f aca="false">C11</f>
        <v>30</v>
      </c>
      <c r="E11" s="23"/>
    </row>
    <row r="13" customFormat="false" ht="60" hidden="false" customHeight="true" outlineLevel="0" collapsed="false">
      <c r="A13" s="26" t="s">
        <v>380</v>
      </c>
      <c r="B13" s="26"/>
      <c r="C13" s="26"/>
      <c r="D13" s="26"/>
      <c r="E13" s="26"/>
    </row>
  </sheetData>
  <mergeCells count="2">
    <mergeCell ref="A1:E1"/>
    <mergeCell ref="A13:E13"/>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4" min="3" style="0" width="10"/>
    <col collapsed="false" customWidth="true" hidden="false" outlineLevel="0" max="6" min="5" style="0" width="16"/>
    <col collapsed="false" customWidth="true" hidden="false" outlineLevel="0" max="7" min="7" style="0" width="40"/>
  </cols>
  <sheetData>
    <row r="1" customFormat="false" ht="25.5" hidden="false" customHeight="true" outlineLevel="0" collapsed="false">
      <c r="A1" s="1" t="s">
        <v>381</v>
      </c>
      <c r="B1" s="1"/>
      <c r="C1" s="1"/>
      <c r="D1" s="1"/>
      <c r="E1" s="1"/>
      <c r="F1" s="1"/>
      <c r="G1" s="1"/>
    </row>
    <row r="3" customFormat="false" ht="19.5" hidden="false" customHeight="true" outlineLevel="0" collapsed="false">
      <c r="A3" s="30" t="s">
        <v>382</v>
      </c>
      <c r="B3" s="30" t="s">
        <v>383</v>
      </c>
      <c r="C3" s="30" t="s">
        <v>384</v>
      </c>
      <c r="D3" s="30" t="s">
        <v>385</v>
      </c>
      <c r="E3" s="30" t="s">
        <v>386</v>
      </c>
      <c r="F3" s="30" t="s">
        <v>387</v>
      </c>
      <c r="G3" s="30" t="s">
        <v>388</v>
      </c>
    </row>
    <row r="4" customFormat="false" ht="15" hidden="false" customHeight="false" outlineLevel="0" collapsed="false">
      <c r="A4" s="32" t="s">
        <v>389</v>
      </c>
      <c r="B4" s="34" t="n">
        <f aca="false">Gateway_Instances_Sized</f>
        <v>9</v>
      </c>
      <c r="C4" s="32" t="n">
        <v>4</v>
      </c>
      <c r="D4" s="32" t="n">
        <v>8</v>
      </c>
      <c r="E4" s="32" t="n">
        <v>3000</v>
      </c>
      <c r="F4" s="35" t="n">
        <f aca="false">B4*E4</f>
        <v>27000</v>
      </c>
      <c r="G4" s="36" t="s">
        <v>390</v>
      </c>
    </row>
    <row r="5" customFormat="false" ht="15" hidden="false" customHeight="false" outlineLevel="0" collapsed="false">
      <c r="A5" s="32" t="s">
        <v>349</v>
      </c>
      <c r="B5" s="37" t="n">
        <f aca="false">Order_Svc_Instances</f>
        <v>6</v>
      </c>
      <c r="C5" s="32" t="n">
        <v>4</v>
      </c>
      <c r="D5" s="32" t="n">
        <v>8</v>
      </c>
      <c r="E5" s="32" t="n">
        <v>2000</v>
      </c>
      <c r="F5" s="35" t="n">
        <f aca="false">B5*E5</f>
        <v>12000</v>
      </c>
      <c r="G5" s="36" t="s">
        <v>391</v>
      </c>
    </row>
    <row r="6" customFormat="false" ht="15" hidden="false" customHeight="false" outlineLevel="0" collapsed="false">
      <c r="A6" s="32" t="s">
        <v>350</v>
      </c>
      <c r="B6" s="37" t="n">
        <f aca="false">Payment_Svc_Instances</f>
        <v>4</v>
      </c>
      <c r="C6" s="32" t="n">
        <v>4</v>
      </c>
      <c r="D6" s="32" t="n">
        <v>8</v>
      </c>
      <c r="E6" s="32" t="n">
        <v>1500</v>
      </c>
      <c r="F6" s="35" t="n">
        <f aca="false">B6*E6</f>
        <v>6000</v>
      </c>
      <c r="G6" s="36" t="s">
        <v>392</v>
      </c>
    </row>
    <row r="7" customFormat="false" ht="15" hidden="false" customHeight="false" outlineLevel="0" collapsed="false">
      <c r="A7" s="32" t="s">
        <v>351</v>
      </c>
      <c r="B7" s="37" t="n">
        <f aca="false">Inventory_Svc_Instances</f>
        <v>4</v>
      </c>
      <c r="C7" s="32" t="n">
        <v>4</v>
      </c>
      <c r="D7" s="32" t="n">
        <v>8</v>
      </c>
      <c r="E7" s="32" t="n">
        <v>2500</v>
      </c>
      <c r="F7" s="35" t="n">
        <f aca="false">B7*E7</f>
        <v>10000</v>
      </c>
      <c r="G7" s="36" t="s">
        <v>393</v>
      </c>
    </row>
    <row r="8" customFormat="false" ht="15" hidden="false" customHeight="false" outlineLevel="0" collapsed="false">
      <c r="A8" s="32" t="s">
        <v>394</v>
      </c>
      <c r="B8" s="37" t="n">
        <f aca="false">Notification_Svc_Instances</f>
        <v>3</v>
      </c>
      <c r="C8" s="32" t="n">
        <v>2</v>
      </c>
      <c r="D8" s="32" t="n">
        <v>4</v>
      </c>
      <c r="E8" s="32" t="n">
        <v>5000</v>
      </c>
      <c r="F8" s="35" t="n">
        <f aca="false">B8*E8</f>
        <v>15000</v>
      </c>
      <c r="G8" s="36" t="s">
        <v>395</v>
      </c>
    </row>
    <row r="9" customFormat="false" ht="15" hidden="false" customHeight="false" outlineLevel="0" collapsed="false">
      <c r="A9" s="32" t="s">
        <v>352</v>
      </c>
      <c r="B9" s="37" t="n">
        <f aca="false">Search_Svc_Instances</f>
        <v>3</v>
      </c>
      <c r="C9" s="32" t="n">
        <v>4</v>
      </c>
      <c r="D9" s="32" t="n">
        <v>16</v>
      </c>
      <c r="E9" s="32" t="n">
        <v>1500</v>
      </c>
      <c r="F9" s="35" t="n">
        <f aca="false">B9*E9</f>
        <v>4500</v>
      </c>
      <c r="G9" s="36" t="s">
        <v>396</v>
      </c>
    </row>
    <row r="10" customFormat="false" ht="15" hidden="false" customHeight="false" outlineLevel="0" collapsed="false">
      <c r="A10" s="7" t="s">
        <v>397</v>
      </c>
      <c r="B10" s="7" t="n">
        <f aca="false">SUM(B4:B9)</f>
        <v>29</v>
      </c>
      <c r="C10" s="7" t="n">
        <f aca="false">SUMPRODUCT(B4:B9,C4:C9)</f>
        <v>110</v>
      </c>
      <c r="D10" s="7" t="n">
        <f aca="false">SUMPRODUCT(B4:B9,D4:D9)</f>
        <v>244</v>
      </c>
      <c r="E10" s="35"/>
      <c r="F10" s="7" t="n">
        <f aca="false">SUM(F4:F9)</f>
        <v>74500</v>
      </c>
      <c r="G10" s="35"/>
    </row>
    <row r="12" customFormat="false" ht="19.5" hidden="false" customHeight="true" outlineLevel="0" collapsed="false">
      <c r="A12" s="18" t="s">
        <v>226</v>
      </c>
      <c r="B12" s="18" t="s">
        <v>227</v>
      </c>
      <c r="C12" s="18" t="s">
        <v>228</v>
      </c>
      <c r="D12" s="18" t="s">
        <v>229</v>
      </c>
      <c r="E12" s="18" t="s">
        <v>230</v>
      </c>
    </row>
    <row r="13" customFormat="false" ht="43.25" hidden="false" customHeight="false" outlineLevel="0" collapsed="false">
      <c r="A13" s="19" t="s">
        <v>398</v>
      </c>
      <c r="B13" s="20" t="s">
        <v>399</v>
      </c>
      <c r="C13" s="21" t="n">
        <f aca="false">(Total_RPS_Capacity/Peak_RPS-1)*100</f>
        <v>1017.5</v>
      </c>
      <c r="D13" s="22" t="n">
        <f aca="false">C13</f>
        <v>1017.5</v>
      </c>
      <c r="E13" s="23" t="s">
        <v>400</v>
      </c>
    </row>
    <row r="14" customFormat="false" ht="43.25" hidden="false" customHeight="false" outlineLevel="0" collapsed="false">
      <c r="A14" s="19" t="s">
        <v>401</v>
      </c>
      <c r="B14" s="20" t="s">
        <v>402</v>
      </c>
      <c r="C14" s="38" t="str">
        <f aca="false">IF(C13&lt;50,"WARNING - THIN","OK")</f>
        <v>OK</v>
      </c>
      <c r="D14" s="39" t="str">
        <f aca="false">C14</f>
        <v>OK</v>
      </c>
      <c r="E14" s="23"/>
    </row>
    <row r="16" customFormat="false" ht="60" hidden="false" customHeight="true" outlineLevel="0" collapsed="false">
      <c r="A16" s="26" t="s">
        <v>403</v>
      </c>
      <c r="B16" s="26"/>
      <c r="C16" s="26"/>
      <c r="D16" s="26"/>
      <c r="E16" s="26"/>
    </row>
  </sheetData>
  <mergeCells count="2">
    <mergeCell ref="A1:G1"/>
    <mergeCell ref="A16:E16"/>
  </mergeCells>
  <conditionalFormatting sqref="C14:D14">
    <cfRule type="cellIs" priority="2" operator="equal" aboveAverage="0" equalAverage="0" bottom="0" percent="0" rank="0" text="" dxfId="0">
      <formula>"OK"</formula>
    </cfRule>
    <cfRule type="cellIs" priority="3" operator="notEqual" aboveAverage="0" equalAverage="0" bottom="0" percent="0" rank="0" text="" dxfId="1">
      <formula>"OK"</formula>
    </cfRule>
  </conditionalFormatting>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14"/>
    <col collapsed="false" customWidth="true" hidden="false" outlineLevel="0" max="5" min="5" style="0" width="34"/>
  </cols>
  <sheetData>
    <row r="1" customFormat="false" ht="25.5" hidden="false" customHeight="true" outlineLevel="0" collapsed="false">
      <c r="A1" s="1" t="s">
        <v>404</v>
      </c>
      <c r="B1" s="1"/>
      <c r="C1" s="1"/>
      <c r="D1" s="1"/>
      <c r="E1" s="1"/>
    </row>
    <row r="3" customFormat="false" ht="19.5" hidden="false" customHeight="true" outlineLevel="0" collapsed="false">
      <c r="A3" s="30" t="s">
        <v>405</v>
      </c>
      <c r="B3" s="30" t="s">
        <v>406</v>
      </c>
      <c r="C3" s="30" t="s">
        <v>407</v>
      </c>
      <c r="D3" s="30" t="s">
        <v>408</v>
      </c>
      <c r="E3" s="30" t="s">
        <v>388</v>
      </c>
    </row>
    <row r="4" customFormat="false" ht="15" hidden="false" customHeight="false" outlineLevel="0" collapsed="false">
      <c r="A4" s="32" t="s">
        <v>409</v>
      </c>
      <c r="B4" s="37" t="n">
        <f aca="false">DNS_Lookup_ms</f>
        <v>5</v>
      </c>
      <c r="C4" s="37" t="n">
        <f aca="false">B4</f>
        <v>5</v>
      </c>
      <c r="D4" s="40" t="n">
        <f aca="false">C4/$C$15</f>
        <v>0.0584795321637427</v>
      </c>
      <c r="E4" s="36" t="s">
        <v>410</v>
      </c>
    </row>
    <row r="5" customFormat="false" ht="15" hidden="false" customHeight="false" outlineLevel="0" collapsed="false">
      <c r="A5" s="32" t="s">
        <v>411</v>
      </c>
      <c r="B5" s="37" t="n">
        <f aca="false">CDN_Edge_ms</f>
        <v>10</v>
      </c>
      <c r="C5" s="34" t="n">
        <f aca="false">C4+B5</f>
        <v>15</v>
      </c>
      <c r="D5" s="40" t="n">
        <f aca="false">C5/$C$15</f>
        <v>0.175438596491228</v>
      </c>
      <c r="E5" s="36" t="s">
        <v>412</v>
      </c>
    </row>
    <row r="6" customFormat="false" ht="15" hidden="false" customHeight="false" outlineLevel="0" collapsed="false">
      <c r="A6" s="32" t="s">
        <v>413</v>
      </c>
      <c r="B6" s="37" t="n">
        <f aca="false">CDN_Origin_Miss_ms</f>
        <v>30</v>
      </c>
      <c r="C6" s="34" t="n">
        <f aca="false">C5+B6</f>
        <v>45</v>
      </c>
      <c r="D6" s="40" t="n">
        <f aca="false">C6/$C$15</f>
        <v>0.526315789473684</v>
      </c>
      <c r="E6" s="36" t="s">
        <v>414</v>
      </c>
    </row>
    <row r="7" customFormat="false" ht="15" hidden="false" customHeight="false" outlineLevel="0" collapsed="false">
      <c r="A7" s="32" t="s">
        <v>415</v>
      </c>
      <c r="B7" s="37" t="n">
        <f aca="false">LB_Forward_ms</f>
        <v>2</v>
      </c>
      <c r="C7" s="34" t="n">
        <f aca="false">C6+B7</f>
        <v>47</v>
      </c>
      <c r="D7" s="40" t="n">
        <f aca="false">C7/$C$15</f>
        <v>0.549707602339181</v>
      </c>
      <c r="E7" s="36" t="s">
        <v>416</v>
      </c>
    </row>
    <row r="8" customFormat="false" ht="15" hidden="false" customHeight="false" outlineLevel="0" collapsed="false">
      <c r="A8" s="32" t="s">
        <v>417</v>
      </c>
      <c r="B8" s="37" t="n">
        <f aca="false">LB_Forward_ms</f>
        <v>2</v>
      </c>
      <c r="C8" s="34" t="n">
        <f aca="false">C7+B8</f>
        <v>49</v>
      </c>
      <c r="D8" s="40" t="n">
        <f aca="false">C8/$C$15</f>
        <v>0.573099415204678</v>
      </c>
      <c r="E8" s="36" t="s">
        <v>418</v>
      </c>
    </row>
    <row r="9" customFormat="false" ht="15" hidden="false" customHeight="false" outlineLevel="0" collapsed="false">
      <c r="A9" s="32" t="s">
        <v>419</v>
      </c>
      <c r="B9" s="34" t="n">
        <f aca="false">Gateway_Latency_ms</f>
        <v>3.5</v>
      </c>
      <c r="C9" s="34" t="n">
        <f aca="false">C8+B9</f>
        <v>52.5</v>
      </c>
      <c r="D9" s="40" t="n">
        <f aca="false">C9/$C$15</f>
        <v>0.614035087719298</v>
      </c>
      <c r="E9" s="36" t="s">
        <v>420</v>
      </c>
    </row>
    <row r="10" customFormat="false" ht="15" hidden="false" customHeight="false" outlineLevel="0" collapsed="false">
      <c r="A10" s="32" t="s">
        <v>421</v>
      </c>
      <c r="B10" s="34" t="n">
        <f aca="false">1</f>
        <v>1</v>
      </c>
      <c r="C10" s="34" t="n">
        <f aca="false">C9+B10</f>
        <v>53.5</v>
      </c>
      <c r="D10" s="40" t="n">
        <f aca="false">C10/$C$15</f>
        <v>0.625730994152047</v>
      </c>
      <c r="E10" s="36" t="s">
        <v>422</v>
      </c>
    </row>
    <row r="11" customFormat="false" ht="15" hidden="false" customHeight="false" outlineLevel="0" collapsed="false">
      <c r="A11" s="32" t="s">
        <v>423</v>
      </c>
      <c r="B11" s="37" t="n">
        <f aca="false">Service_Process_ms</f>
        <v>20</v>
      </c>
      <c r="C11" s="34" t="n">
        <f aca="false">C10+B11</f>
        <v>73.5</v>
      </c>
      <c r="D11" s="40" t="n">
        <f aca="false">C11/$C$15</f>
        <v>0.859649122807018</v>
      </c>
      <c r="E11" s="36" t="s">
        <v>424</v>
      </c>
    </row>
    <row r="12" customFormat="false" ht="15" hidden="false" customHeight="false" outlineLevel="0" collapsed="false">
      <c r="A12" s="32" t="s">
        <v>425</v>
      </c>
      <c r="B12" s="37" t="n">
        <f aca="false">Redis_Query_ms</f>
        <v>1</v>
      </c>
      <c r="C12" s="34" t="n">
        <f aca="false">C11+B12</f>
        <v>74.5</v>
      </c>
      <c r="D12" s="40" t="n">
        <f aca="false">C12/$C$15</f>
        <v>0.871345029239766</v>
      </c>
      <c r="E12" s="36" t="s">
        <v>169</v>
      </c>
    </row>
    <row r="13" customFormat="false" ht="15" hidden="false" customHeight="false" outlineLevel="0" collapsed="false">
      <c r="A13" s="32" t="s">
        <v>426</v>
      </c>
      <c r="B13" s="37" t="n">
        <f aca="false">DB_Query_ms</f>
        <v>5</v>
      </c>
      <c r="C13" s="34" t="n">
        <f aca="false">C12+B13</f>
        <v>79.5</v>
      </c>
      <c r="D13" s="40" t="n">
        <f aca="false">C13/$C$15</f>
        <v>0.929824561403509</v>
      </c>
      <c r="E13" s="36" t="s">
        <v>427</v>
      </c>
    </row>
    <row r="14" customFormat="false" ht="15" hidden="false" customHeight="false" outlineLevel="0" collapsed="false">
      <c r="A14" s="32" t="s">
        <v>428</v>
      </c>
      <c r="B14" s="34" t="n">
        <f aca="false">1</f>
        <v>1</v>
      </c>
      <c r="C14" s="34" t="n">
        <f aca="false">C13+B14</f>
        <v>80.5</v>
      </c>
      <c r="D14" s="40" t="n">
        <f aca="false">C14/$C$15</f>
        <v>0.941520467836257</v>
      </c>
      <c r="E14" s="36" t="s">
        <v>429</v>
      </c>
    </row>
    <row r="15" customFormat="false" ht="15" hidden="false" customHeight="false" outlineLevel="0" collapsed="false">
      <c r="A15" s="32" t="s">
        <v>430</v>
      </c>
      <c r="B15" s="34" t="n">
        <f aca="false">5</f>
        <v>5</v>
      </c>
      <c r="C15" s="34" t="n">
        <f aca="false">C14+B15</f>
        <v>85.5</v>
      </c>
      <c r="D15" s="40" t="n">
        <f aca="false">C15/$C$15</f>
        <v>1</v>
      </c>
      <c r="E15" s="36" t="s">
        <v>431</v>
      </c>
    </row>
    <row r="17" customFormat="false" ht="19.5" hidden="false" customHeight="true" outlineLevel="0" collapsed="false">
      <c r="A17" s="18" t="s">
        <v>226</v>
      </c>
      <c r="B17" s="18" t="s">
        <v>227</v>
      </c>
      <c r="C17" s="18" t="s">
        <v>228</v>
      </c>
      <c r="D17" s="18" t="s">
        <v>229</v>
      </c>
      <c r="E17" s="18" t="s">
        <v>230</v>
      </c>
    </row>
    <row r="18" customFormat="false" ht="32.8" hidden="false" customHeight="false" outlineLevel="0" collapsed="false">
      <c r="A18" s="19" t="s">
        <v>432</v>
      </c>
      <c r="B18" s="20" t="s">
        <v>433</v>
      </c>
      <c r="C18" s="21" t="n">
        <f aca="false">SUM(B4:B15)</f>
        <v>85.5</v>
      </c>
      <c r="D18" s="22" t="n">
        <f aca="false">C18</f>
        <v>85.5</v>
      </c>
      <c r="E18" s="23" t="s">
        <v>434</v>
      </c>
    </row>
    <row r="19" customFormat="false" ht="43.25" hidden="false" customHeight="false" outlineLevel="0" collapsed="false">
      <c r="A19" s="19" t="s">
        <v>435</v>
      </c>
      <c r="B19" s="20" t="s">
        <v>436</v>
      </c>
      <c r="C19" s="21" t="n">
        <f aca="false">C18-CDN_Origin_Miss_ms-DB_Query_ms</f>
        <v>50.5</v>
      </c>
      <c r="D19" s="22" t="n">
        <f aca="false">C19</f>
        <v>50.5</v>
      </c>
      <c r="E19" s="23" t="s">
        <v>437</v>
      </c>
    </row>
    <row r="20" customFormat="false" ht="32.8" hidden="false" customHeight="false" outlineLevel="0" collapsed="false">
      <c r="A20" s="19" t="s">
        <v>438</v>
      </c>
      <c r="B20" s="20" t="s">
        <v>439</v>
      </c>
      <c r="C20" s="21" t="n">
        <f aca="false">C19*0.98+C18*0.02</f>
        <v>51.2</v>
      </c>
      <c r="D20" s="22" t="n">
        <f aca="false">C20</f>
        <v>51.2</v>
      </c>
      <c r="E20" s="23"/>
    </row>
    <row r="21" customFormat="false" ht="43.25" hidden="false" customHeight="false" outlineLevel="0" collapsed="false">
      <c r="A21" s="19" t="s">
        <v>440</v>
      </c>
      <c r="B21" s="20" t="s">
        <v>441</v>
      </c>
      <c r="C21" s="21" t="n">
        <f aca="false">C20*1.8</f>
        <v>92.16</v>
      </c>
      <c r="D21" s="22" t="n">
        <f aca="false">C21</f>
        <v>92.16</v>
      </c>
      <c r="E21" s="23"/>
    </row>
    <row r="22" customFormat="false" ht="22.35" hidden="false" customHeight="false" outlineLevel="0" collapsed="false">
      <c r="A22" s="19" t="s">
        <v>442</v>
      </c>
      <c r="B22" s="20" t="s">
        <v>443</v>
      </c>
      <c r="C22" s="21" t="n">
        <f aca="false">C20*3</f>
        <v>153.6</v>
      </c>
      <c r="D22" s="22" t="n">
        <f aca="false">C22</f>
        <v>153.6</v>
      </c>
      <c r="E22" s="23"/>
    </row>
    <row r="23" customFormat="false" ht="32.8" hidden="false" customHeight="false" outlineLevel="0" collapsed="false">
      <c r="A23" s="19" t="s">
        <v>444</v>
      </c>
      <c r="B23" s="20" t="s">
        <v>445</v>
      </c>
      <c r="C23" s="38" t="str">
        <f aca="false">IF(C21&lt;SLA_P95_ms,"PASS","FAIL")</f>
        <v>PASS</v>
      </c>
      <c r="D23" s="39" t="str">
        <f aca="false">C23</f>
        <v>PASS</v>
      </c>
      <c r="E23" s="23"/>
    </row>
    <row r="25" customFormat="false" ht="60" hidden="false" customHeight="true" outlineLevel="0" collapsed="false">
      <c r="A25" s="26" t="s">
        <v>446</v>
      </c>
      <c r="B25" s="26"/>
      <c r="C25" s="26"/>
      <c r="D25" s="26"/>
      <c r="E25" s="26"/>
    </row>
  </sheetData>
  <mergeCells count="2">
    <mergeCell ref="A1:E1"/>
    <mergeCell ref="A25:E25"/>
  </mergeCells>
  <conditionalFormatting sqref="C23:D23">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0"/>
  </cols>
  <sheetData>
    <row r="1" customFormat="false" ht="25.5" hidden="false" customHeight="true" outlineLevel="0" collapsed="false">
      <c r="A1" s="1" t="s">
        <v>447</v>
      </c>
      <c r="B1" s="1"/>
      <c r="C1" s="1"/>
      <c r="D1" s="1"/>
      <c r="E1" s="1"/>
    </row>
    <row r="3" customFormat="false" ht="18" hidden="false" customHeight="true" outlineLevel="0" collapsed="false">
      <c r="A3" s="2" t="s">
        <v>448</v>
      </c>
      <c r="B3" s="2"/>
      <c r="C3" s="2"/>
      <c r="D3" s="2"/>
      <c r="E3" s="2"/>
    </row>
    <row r="4" customFormat="false" ht="19.5" hidden="false" customHeight="true" outlineLevel="0" collapsed="false">
      <c r="A4" s="18" t="s">
        <v>226</v>
      </c>
      <c r="B4" s="18" t="s">
        <v>227</v>
      </c>
      <c r="C4" s="18" t="s">
        <v>228</v>
      </c>
      <c r="D4" s="18" t="s">
        <v>229</v>
      </c>
      <c r="E4" s="18" t="s">
        <v>230</v>
      </c>
    </row>
    <row r="5" customFormat="false" ht="15" hidden="false" customHeight="false" outlineLevel="0" collapsed="false">
      <c r="A5" s="19" t="s">
        <v>449</v>
      </c>
      <c r="B5" s="20" t="s">
        <v>450</v>
      </c>
      <c r="C5" s="24" t="n">
        <f aca="false">Peak_RPS*AVG_MSG_SIZE_KB/1024</f>
        <v>6.51041666666667</v>
      </c>
      <c r="D5" s="25" t="n">
        <f aca="false">C5</f>
        <v>6.51041666666667</v>
      </c>
      <c r="E5" s="23"/>
    </row>
    <row r="6" customFormat="false" ht="15" hidden="false" customHeight="false" outlineLevel="0" collapsed="false">
      <c r="A6" s="19" t="s">
        <v>451</v>
      </c>
      <c r="B6" s="20" t="s">
        <v>452</v>
      </c>
      <c r="C6" s="21" t="n">
        <f aca="false">Kafka_MBps*REPLICATION_FACTOR</f>
        <v>19.53125</v>
      </c>
      <c r="D6" s="22" t="n">
        <f aca="false">C6</f>
        <v>19.53125</v>
      </c>
      <c r="E6" s="23"/>
    </row>
    <row r="7" customFormat="false" ht="15" hidden="false" customHeight="false" outlineLevel="0" collapsed="false">
      <c r="A7" s="19" t="s">
        <v>453</v>
      </c>
      <c r="B7" s="20" t="s">
        <v>454</v>
      </c>
      <c r="C7" s="24" t="n">
        <f aca="false">Kafka_MBps*86400/1024</f>
        <v>549.31640625</v>
      </c>
      <c r="D7" s="25" t="n">
        <f aca="false">C7</f>
        <v>549.31640625</v>
      </c>
      <c r="E7" s="23"/>
    </row>
    <row r="8" customFormat="false" ht="15" hidden="false" customHeight="false" outlineLevel="0" collapsed="false">
      <c r="A8" s="19" t="s">
        <v>455</v>
      </c>
      <c r="B8" s="20" t="s">
        <v>456</v>
      </c>
      <c r="C8" s="24" t="n">
        <f aca="false">C7*30/1024</f>
        <v>16.0932540893555</v>
      </c>
      <c r="D8" s="25" t="n">
        <f aca="false">C8</f>
        <v>16.0932540893555</v>
      </c>
      <c r="E8" s="23"/>
    </row>
    <row r="9" customFormat="false" ht="15" hidden="false" customHeight="false" outlineLevel="0" collapsed="false">
      <c r="A9" s="19" t="s">
        <v>457</v>
      </c>
      <c r="B9" s="20" t="s">
        <v>458</v>
      </c>
      <c r="C9" s="21" t="n">
        <f aca="false">C8/3</f>
        <v>5.36441802978516</v>
      </c>
      <c r="D9" s="22" t="n">
        <f aca="false">C9</f>
        <v>5.36441802978516</v>
      </c>
      <c r="E9" s="23"/>
    </row>
    <row r="11" customFormat="false" ht="18" hidden="false" customHeight="true" outlineLevel="0" collapsed="false">
      <c r="A11" s="2" t="s">
        <v>459</v>
      </c>
      <c r="B11" s="2"/>
      <c r="C11" s="2"/>
      <c r="D11" s="2"/>
      <c r="E11" s="2"/>
    </row>
    <row r="12" customFormat="false" ht="19.5" hidden="false" customHeight="true" outlineLevel="0" collapsed="false">
      <c r="A12" s="18" t="s">
        <v>226</v>
      </c>
      <c r="B12" s="18" t="s">
        <v>227</v>
      </c>
      <c r="C12" s="18" t="s">
        <v>228</v>
      </c>
      <c r="D12" s="18" t="s">
        <v>229</v>
      </c>
      <c r="E12" s="18" t="s">
        <v>230</v>
      </c>
    </row>
    <row r="13" customFormat="false" ht="22.35" hidden="false" customHeight="false" outlineLevel="0" collapsed="false">
      <c r="A13" s="19" t="s">
        <v>460</v>
      </c>
      <c r="B13" s="20" t="s">
        <v>461</v>
      </c>
      <c r="C13" s="24" t="n">
        <f aca="false">ROUNDUP(Kafka_MBps/PRODUCER_PER_PARTITION_MBPS,0)</f>
        <v>1</v>
      </c>
      <c r="D13" s="25" t="n">
        <f aca="false">C13</f>
        <v>1</v>
      </c>
      <c r="E13" s="23"/>
    </row>
    <row r="14" customFormat="false" ht="22.35" hidden="false" customHeight="false" outlineLevel="0" collapsed="false">
      <c r="A14" s="19" t="s">
        <v>462</v>
      </c>
      <c r="B14" s="20" t="s">
        <v>463</v>
      </c>
      <c r="C14" s="24" t="n">
        <f aca="false">ROUNDUP(Kafka_MBps/CONSUMER_PER_PARTITION_MBPS,0)</f>
        <v>2</v>
      </c>
      <c r="D14" s="25" t="n">
        <f aca="false">C14</f>
        <v>2</v>
      </c>
      <c r="E14" s="23"/>
    </row>
    <row r="15" customFormat="false" ht="22.35" hidden="false" customHeight="false" outlineLevel="0" collapsed="false">
      <c r="A15" s="19" t="s">
        <v>464</v>
      </c>
      <c r="B15" s="20" t="s">
        <v>465</v>
      </c>
      <c r="C15" s="24" t="n">
        <f aca="false">MAX(C13,C14,MIN_BROKERS_HA)</f>
        <v>3</v>
      </c>
      <c r="D15" s="25" t="n">
        <f aca="false">C15</f>
        <v>3</v>
      </c>
      <c r="E15" s="23"/>
    </row>
    <row r="16" customFormat="false" ht="22.35" hidden="false" customHeight="false" outlineLevel="0" collapsed="false">
      <c r="A16" s="19" t="s">
        <v>466</v>
      </c>
      <c r="B16" s="20" t="s">
        <v>467</v>
      </c>
      <c r="C16" s="21" t="n">
        <f aca="false">ROUNDUP(C15/BROKER_MULTIPLE,0)*BROKER_MULTIPLE</f>
        <v>6</v>
      </c>
      <c r="D16" s="22" t="n">
        <f aca="false">C16</f>
        <v>6</v>
      </c>
      <c r="E16" s="23" t="s">
        <v>468</v>
      </c>
    </row>
    <row r="17" customFormat="false" ht="22.35" hidden="false" customHeight="false" outlineLevel="0" collapsed="false">
      <c r="A17" s="19" t="s">
        <v>469</v>
      </c>
      <c r="B17" s="20" t="s">
        <v>470</v>
      </c>
      <c r="C17" s="21" t="n">
        <f aca="false">MAX(MIN_BROKERS_HA,ROUNDUP(Kafka_Internal_MBps/BROKER_CAPACITY_MBPS,0))</f>
        <v>3</v>
      </c>
      <c r="D17" s="22" t="n">
        <f aca="false">C17</f>
        <v>3</v>
      </c>
      <c r="E17" s="23"/>
    </row>
    <row r="19" customFormat="false" ht="18" hidden="false" customHeight="true" outlineLevel="0" collapsed="false">
      <c r="A19" s="2" t="s">
        <v>471</v>
      </c>
      <c r="B19" s="2"/>
      <c r="C19" s="2"/>
      <c r="D19" s="2"/>
      <c r="E19" s="2"/>
    </row>
    <row r="20" customFormat="false" ht="19.5" hidden="false" customHeight="true" outlineLevel="0" collapsed="false">
      <c r="A20" s="30" t="s">
        <v>472</v>
      </c>
      <c r="B20" s="30" t="s">
        <v>473</v>
      </c>
      <c r="C20" s="30" t="s">
        <v>474</v>
      </c>
      <c r="D20" s="30" t="s">
        <v>475</v>
      </c>
      <c r="E20" s="30" t="s">
        <v>476</v>
      </c>
      <c r="F20" s="30" t="s">
        <v>477</v>
      </c>
    </row>
    <row r="21" customFormat="false" ht="41.75" hidden="false" customHeight="false" outlineLevel="0" collapsed="false">
      <c r="A21" s="41" t="s">
        <v>478</v>
      </c>
      <c r="B21" s="41" t="n">
        <v>24</v>
      </c>
      <c r="C21" s="41" t="n">
        <v>7</v>
      </c>
      <c r="D21" s="42" t="n">
        <f aca="false">REPLICATION_FACTOR</f>
        <v>3</v>
      </c>
      <c r="E21" s="41" t="s">
        <v>479</v>
      </c>
      <c r="F21" s="36" t="s">
        <v>480</v>
      </c>
    </row>
    <row r="22" customFormat="false" ht="55.2" hidden="false" customHeight="false" outlineLevel="0" collapsed="false">
      <c r="A22" s="41" t="s">
        <v>481</v>
      </c>
      <c r="B22" s="41" t="n">
        <v>12</v>
      </c>
      <c r="C22" s="41" t="n">
        <v>30</v>
      </c>
      <c r="D22" s="42" t="n">
        <f aca="false">REPLICATION_FACTOR</f>
        <v>3</v>
      </c>
      <c r="E22" s="41" t="s">
        <v>482</v>
      </c>
      <c r="F22" s="36" t="s">
        <v>483</v>
      </c>
    </row>
    <row r="23" customFormat="false" ht="41.75" hidden="false" customHeight="false" outlineLevel="0" collapsed="false">
      <c r="A23" s="41" t="s">
        <v>484</v>
      </c>
      <c r="B23" s="41" t="n">
        <v>12</v>
      </c>
      <c r="C23" s="41" t="n">
        <v>7</v>
      </c>
      <c r="D23" s="42" t="n">
        <f aca="false">REPLICATION_FACTOR</f>
        <v>3</v>
      </c>
      <c r="E23" s="41" t="s">
        <v>482</v>
      </c>
      <c r="F23" s="36" t="s">
        <v>485</v>
      </c>
    </row>
    <row r="24" customFormat="false" ht="41.75" hidden="false" customHeight="false" outlineLevel="0" collapsed="false">
      <c r="A24" s="41" t="s">
        <v>486</v>
      </c>
      <c r="B24" s="41" t="n">
        <v>6</v>
      </c>
      <c r="C24" s="41" t="n">
        <v>30</v>
      </c>
      <c r="D24" s="42" t="n">
        <f aca="false">REPLICATION_FACTOR</f>
        <v>3</v>
      </c>
      <c r="E24" s="41" t="s">
        <v>479</v>
      </c>
      <c r="F24" s="36" t="s">
        <v>487</v>
      </c>
    </row>
    <row r="25" customFormat="false" ht="28.35" hidden="false" customHeight="false" outlineLevel="0" collapsed="false">
      <c r="A25" s="41" t="s">
        <v>488</v>
      </c>
      <c r="B25" s="41" t="n">
        <v>6</v>
      </c>
      <c r="C25" s="41" t="n">
        <v>1</v>
      </c>
      <c r="D25" s="42" t="n">
        <f aca="false">REPLICATION_FACTOR</f>
        <v>3</v>
      </c>
      <c r="E25" s="41" t="s">
        <v>479</v>
      </c>
      <c r="F25" s="36" t="s">
        <v>489</v>
      </c>
    </row>
    <row r="26" customFormat="false" ht="28.35" hidden="false" customHeight="false" outlineLevel="0" collapsed="false">
      <c r="A26" s="41" t="s">
        <v>490</v>
      </c>
      <c r="B26" s="41" t="n">
        <v>6</v>
      </c>
      <c r="C26" s="41" t="n">
        <v>1</v>
      </c>
      <c r="D26" s="42" t="n">
        <f aca="false">REPLICATION_FACTOR</f>
        <v>3</v>
      </c>
      <c r="E26" s="41" t="s">
        <v>479</v>
      </c>
      <c r="F26" s="36" t="s">
        <v>491</v>
      </c>
    </row>
    <row r="27" customFormat="false" ht="28.35" hidden="false" customHeight="false" outlineLevel="0" collapsed="false">
      <c r="A27" s="41" t="s">
        <v>492</v>
      </c>
      <c r="B27" s="41" t="n">
        <v>6</v>
      </c>
      <c r="C27" s="41" t="n">
        <v>1</v>
      </c>
      <c r="D27" s="42" t="n">
        <f aca="false">REPLICATION_FACTOR</f>
        <v>3</v>
      </c>
      <c r="E27" s="41" t="s">
        <v>479</v>
      </c>
      <c r="F27" s="36" t="s">
        <v>493</v>
      </c>
    </row>
    <row r="28" customFormat="false" ht="55.2" hidden="false" customHeight="false" outlineLevel="0" collapsed="false">
      <c r="A28" s="41" t="s">
        <v>494</v>
      </c>
      <c r="B28" s="41" t="n">
        <v>6</v>
      </c>
      <c r="C28" s="41" t="n">
        <v>7</v>
      </c>
      <c r="D28" s="42" t="n">
        <f aca="false">REPLICATION_FACTOR</f>
        <v>3</v>
      </c>
      <c r="E28" s="41" t="s">
        <v>479</v>
      </c>
      <c r="F28" s="36" t="s">
        <v>495</v>
      </c>
    </row>
    <row r="30" customFormat="false" ht="18" hidden="false" customHeight="true" outlineLevel="0" collapsed="false">
      <c r="A30" s="2" t="s">
        <v>496</v>
      </c>
      <c r="B30" s="2"/>
      <c r="C30" s="2"/>
      <c r="D30" s="2"/>
      <c r="E30" s="2"/>
    </row>
    <row r="31" customFormat="false" ht="19.5" hidden="false" customHeight="true" outlineLevel="0" collapsed="false">
      <c r="A31" s="18" t="s">
        <v>226</v>
      </c>
      <c r="B31" s="18" t="s">
        <v>227</v>
      </c>
      <c r="C31" s="18" t="s">
        <v>228</v>
      </c>
      <c r="D31" s="18" t="s">
        <v>229</v>
      </c>
      <c r="E31" s="18" t="s">
        <v>230</v>
      </c>
    </row>
    <row r="32" customFormat="false" ht="15" hidden="false" customHeight="false" outlineLevel="0" collapsed="false">
      <c r="A32" s="19" t="s">
        <v>497</v>
      </c>
      <c r="B32" s="20" t="s">
        <v>498</v>
      </c>
      <c r="C32" s="28" t="n">
        <f aca="false">3</f>
        <v>3</v>
      </c>
      <c r="D32" s="29" t="n">
        <f aca="false">C32</f>
        <v>3</v>
      </c>
      <c r="E32" s="23"/>
    </row>
    <row r="33" customFormat="false" ht="15" hidden="false" customHeight="false" outlineLevel="0" collapsed="false">
      <c r="A33" s="19" t="s">
        <v>499</v>
      </c>
      <c r="B33" s="20" t="s">
        <v>297</v>
      </c>
      <c r="C33" s="28" t="n">
        <f aca="false">2</f>
        <v>2</v>
      </c>
      <c r="D33" s="29" t="n">
        <f aca="false">C33</f>
        <v>2</v>
      </c>
      <c r="E33" s="23"/>
    </row>
    <row r="34" customFormat="false" ht="15" hidden="false" customHeight="false" outlineLevel="0" collapsed="false">
      <c r="A34" s="19" t="s">
        <v>500</v>
      </c>
      <c r="B34" s="20" t="s">
        <v>297</v>
      </c>
      <c r="C34" s="28" t="n">
        <f aca="false">4</f>
        <v>4</v>
      </c>
      <c r="D34" s="29" t="n">
        <f aca="false">C34</f>
        <v>4</v>
      </c>
      <c r="E34" s="23"/>
    </row>
    <row r="35" customFormat="false" ht="15" hidden="false" customHeight="false" outlineLevel="0" collapsed="false">
      <c r="A35" s="19" t="s">
        <v>501</v>
      </c>
      <c r="B35" s="20" t="s">
        <v>502</v>
      </c>
      <c r="C35" s="24" t="n">
        <f aca="false">Kafka_Partitions*0.1</f>
        <v>0.6</v>
      </c>
      <c r="D35" s="25" t="n">
        <f aca="false">C35</f>
        <v>0.6</v>
      </c>
      <c r="E35" s="23" t="s">
        <v>503</v>
      </c>
    </row>
    <row r="37" customFormat="false" ht="18" hidden="false" customHeight="true" outlineLevel="0" collapsed="false">
      <c r="A37" s="2" t="s">
        <v>504</v>
      </c>
      <c r="B37" s="2"/>
      <c r="C37" s="2"/>
      <c r="D37" s="2"/>
      <c r="E37" s="2"/>
    </row>
    <row r="38" customFormat="false" ht="15" hidden="false" customHeight="false" outlineLevel="0" collapsed="false">
      <c r="A38" s="43" t="s">
        <v>505</v>
      </c>
      <c r="B38" s="43"/>
      <c r="C38" s="43"/>
      <c r="D38" s="43"/>
      <c r="E38" s="43"/>
    </row>
    <row r="39" customFormat="false" ht="15" hidden="false" customHeight="false" outlineLevel="0" collapsed="false">
      <c r="A39" s="43" t="s">
        <v>506</v>
      </c>
      <c r="B39" s="43"/>
      <c r="C39" s="43"/>
      <c r="D39" s="43"/>
      <c r="E39" s="43"/>
    </row>
    <row r="40" customFormat="false" ht="15" hidden="false" customHeight="false" outlineLevel="0" collapsed="false">
      <c r="A40" s="43" t="s">
        <v>507</v>
      </c>
      <c r="B40" s="43"/>
      <c r="C40" s="43"/>
      <c r="D40" s="43"/>
      <c r="E40" s="43"/>
    </row>
    <row r="41" customFormat="false" ht="15" hidden="false" customHeight="false" outlineLevel="0" collapsed="false">
      <c r="A41" s="43" t="s">
        <v>508</v>
      </c>
      <c r="B41" s="43"/>
      <c r="C41" s="43"/>
      <c r="D41" s="43"/>
      <c r="E41" s="43"/>
    </row>
    <row r="42" customFormat="false" ht="15" hidden="false" customHeight="false" outlineLevel="0" collapsed="false">
      <c r="A42" s="43" t="s">
        <v>509</v>
      </c>
      <c r="B42" s="43"/>
      <c r="C42" s="43"/>
      <c r="D42" s="43"/>
      <c r="E42" s="43"/>
    </row>
    <row r="43" customFormat="false" ht="15" hidden="false" customHeight="false" outlineLevel="0" collapsed="false">
      <c r="A43" s="43" t="s">
        <v>510</v>
      </c>
      <c r="B43" s="43"/>
      <c r="C43" s="43"/>
      <c r="D43" s="43"/>
      <c r="E43" s="43"/>
    </row>
    <row r="45" customFormat="false" ht="18" hidden="false" customHeight="true" outlineLevel="0" collapsed="false">
      <c r="A45" s="2" t="s">
        <v>511</v>
      </c>
      <c r="B45" s="2"/>
      <c r="C45" s="2"/>
      <c r="D45" s="2"/>
      <c r="E45" s="2"/>
    </row>
    <row r="46" customFormat="false" ht="15" hidden="false" customHeight="false" outlineLevel="0" collapsed="false">
      <c r="A46" s="43" t="s">
        <v>512</v>
      </c>
      <c r="B46" s="43"/>
      <c r="C46" s="43"/>
      <c r="D46" s="43"/>
      <c r="E46" s="43"/>
    </row>
    <row r="47" customFormat="false" ht="15" hidden="false" customHeight="false" outlineLevel="0" collapsed="false">
      <c r="A47" s="43" t="s">
        <v>513</v>
      </c>
      <c r="B47" s="43"/>
      <c r="C47" s="43"/>
      <c r="D47" s="43"/>
      <c r="E47" s="43"/>
    </row>
    <row r="48" customFormat="false" ht="15" hidden="false" customHeight="false" outlineLevel="0" collapsed="false">
      <c r="A48" s="43" t="s">
        <v>514</v>
      </c>
      <c r="B48" s="43"/>
      <c r="C48" s="43"/>
      <c r="D48" s="43"/>
      <c r="E48" s="43"/>
    </row>
    <row r="49" customFormat="false" ht="15" hidden="false" customHeight="false" outlineLevel="0" collapsed="false">
      <c r="A49" s="43" t="s">
        <v>515</v>
      </c>
      <c r="B49" s="43"/>
      <c r="C49" s="43"/>
      <c r="D49" s="43"/>
      <c r="E49" s="43"/>
    </row>
    <row r="50" customFormat="false" ht="15" hidden="false" customHeight="false" outlineLevel="0" collapsed="false">
      <c r="A50" s="43" t="s">
        <v>516</v>
      </c>
      <c r="B50" s="43"/>
      <c r="C50" s="43"/>
      <c r="D50" s="43"/>
      <c r="E50" s="43"/>
    </row>
    <row r="52" customFormat="false" ht="60" hidden="false" customHeight="true" outlineLevel="0" collapsed="false">
      <c r="A52" s="26" t="s">
        <v>517</v>
      </c>
      <c r="B52" s="26"/>
      <c r="C52" s="26"/>
      <c r="D52" s="26"/>
      <c r="E52" s="26"/>
    </row>
    <row r="54" customFormat="false" ht="18" hidden="false" customHeight="true" outlineLevel="0" collapsed="false">
      <c r="A54" s="2" t="s">
        <v>518</v>
      </c>
      <c r="B54" s="2"/>
      <c r="C54" s="2"/>
      <c r="D54" s="2"/>
      <c r="E54" s="2"/>
    </row>
    <row r="55" customFormat="false" ht="19.5" hidden="false" customHeight="true" outlineLevel="0" collapsed="false">
      <c r="A55" s="30" t="s">
        <v>473</v>
      </c>
      <c r="B55" s="30" t="s">
        <v>519</v>
      </c>
      <c r="C55" s="30" t="s">
        <v>520</v>
      </c>
      <c r="D55" s="30"/>
      <c r="E55" s="30"/>
    </row>
    <row r="56" customFormat="false" ht="15" hidden="false" customHeight="false" outlineLevel="0" collapsed="false">
      <c r="A56" s="32" t="n">
        <v>6</v>
      </c>
      <c r="B56" s="32" t="n">
        <f aca="false">A56*PRODUCER_PER_PARTITION_MBPS</f>
        <v>60</v>
      </c>
      <c r="C56" s="32" t="n">
        <f aca="false">A56*CONSUMER_PER_PARTITION_MBPS</f>
        <v>30</v>
      </c>
    </row>
    <row r="57" customFormat="false" ht="15" hidden="false" customHeight="false" outlineLevel="0" collapsed="false">
      <c r="A57" s="32" t="n">
        <v>12</v>
      </c>
      <c r="B57" s="32" t="n">
        <f aca="false">A57*PRODUCER_PER_PARTITION_MBPS</f>
        <v>120</v>
      </c>
      <c r="C57" s="32" t="n">
        <f aca="false">A57*CONSUMER_PER_PARTITION_MBPS</f>
        <v>60</v>
      </c>
    </row>
    <row r="58" customFormat="false" ht="15" hidden="false" customHeight="false" outlineLevel="0" collapsed="false">
      <c r="A58" s="32" t="n">
        <v>18</v>
      </c>
      <c r="B58" s="32" t="n">
        <f aca="false">A58*PRODUCER_PER_PARTITION_MBPS</f>
        <v>180</v>
      </c>
      <c r="C58" s="32" t="n">
        <f aca="false">A58*CONSUMER_PER_PARTITION_MBPS</f>
        <v>90</v>
      </c>
    </row>
    <row r="59" customFormat="false" ht="15" hidden="false" customHeight="false" outlineLevel="0" collapsed="false">
      <c r="A59" s="32" t="n">
        <v>24</v>
      </c>
      <c r="B59" s="32" t="n">
        <f aca="false">A59*PRODUCER_PER_PARTITION_MBPS</f>
        <v>240</v>
      </c>
      <c r="C59" s="32" t="n">
        <f aca="false">A59*CONSUMER_PER_PARTITION_MBPS</f>
        <v>120</v>
      </c>
    </row>
    <row r="60" customFormat="false" ht="15" hidden="false" customHeight="false" outlineLevel="0" collapsed="false">
      <c r="A60" s="32" t="n">
        <v>30</v>
      </c>
      <c r="B60" s="32" t="n">
        <f aca="false">A60*PRODUCER_PER_PARTITION_MBPS</f>
        <v>300</v>
      </c>
      <c r="C60" s="32" t="n">
        <f aca="false">A60*CONSUMER_PER_PARTITION_MBPS</f>
        <v>150</v>
      </c>
    </row>
    <row r="61" customFormat="false" ht="15" hidden="false" customHeight="false" outlineLevel="0" collapsed="false">
      <c r="A61" s="32" t="n">
        <v>36</v>
      </c>
      <c r="B61" s="32" t="n">
        <f aca="false">A61*PRODUCER_PER_PARTITION_MBPS</f>
        <v>360</v>
      </c>
      <c r="C61" s="32" t="n">
        <f aca="false">A61*CONSUMER_PER_PARTITION_MBPS</f>
        <v>180</v>
      </c>
    </row>
    <row r="62" customFormat="false" ht="15" hidden="false" customHeight="false" outlineLevel="0" collapsed="false">
      <c r="A62" s="32" t="n">
        <v>48</v>
      </c>
      <c r="B62" s="32" t="n">
        <f aca="false">A62*PRODUCER_PER_PARTITION_MBPS</f>
        <v>480</v>
      </c>
      <c r="C62" s="32" t="n">
        <f aca="false">A62*CONSUMER_PER_PARTITION_MBPS</f>
        <v>240</v>
      </c>
    </row>
    <row r="63" customFormat="false" ht="15" hidden="false" customHeight="false" outlineLevel="0" collapsed="false">
      <c r="A63" s="32" t="n">
        <v>60</v>
      </c>
      <c r="B63" s="32" t="n">
        <f aca="false">A63*PRODUCER_PER_PARTITION_MBPS</f>
        <v>600</v>
      </c>
      <c r="C63" s="32" t="n">
        <f aca="false">A63*CONSUMER_PER_PARTITION_MBPS</f>
        <v>300</v>
      </c>
    </row>
  </sheetData>
  <mergeCells count="20">
    <mergeCell ref="A1:E1"/>
    <mergeCell ref="A3:E3"/>
    <mergeCell ref="A11:E11"/>
    <mergeCell ref="A19:E19"/>
    <mergeCell ref="A30:E30"/>
    <mergeCell ref="A37:E37"/>
    <mergeCell ref="A38:E38"/>
    <mergeCell ref="A39:E39"/>
    <mergeCell ref="A40:E40"/>
    <mergeCell ref="A41:E41"/>
    <mergeCell ref="A42:E42"/>
    <mergeCell ref="A43:E43"/>
    <mergeCell ref="A45:E45"/>
    <mergeCell ref="A46:E46"/>
    <mergeCell ref="A47:E47"/>
    <mergeCell ref="A48:E48"/>
    <mergeCell ref="A49:E49"/>
    <mergeCell ref="A50:E50"/>
    <mergeCell ref="A52:E52"/>
    <mergeCell ref="A54:E54"/>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0"/>
  </cols>
  <sheetData>
    <row r="1" customFormat="false" ht="25.5" hidden="false" customHeight="true" outlineLevel="0" collapsed="false">
      <c r="A1" s="1" t="s">
        <v>521</v>
      </c>
      <c r="B1" s="1"/>
      <c r="C1" s="1"/>
      <c r="D1" s="1"/>
      <c r="E1" s="1"/>
    </row>
    <row r="3" customFormat="false" ht="18" hidden="false" customHeight="true" outlineLevel="0" collapsed="false">
      <c r="A3" s="2" t="s">
        <v>522</v>
      </c>
      <c r="B3" s="2"/>
      <c r="C3" s="2"/>
      <c r="D3" s="2"/>
      <c r="E3" s="2"/>
    </row>
    <row r="4" customFormat="false" ht="19.5" hidden="false" customHeight="true" outlineLevel="0" collapsed="false">
      <c r="A4" s="18" t="s">
        <v>226</v>
      </c>
      <c r="B4" s="18" t="s">
        <v>227</v>
      </c>
      <c r="C4" s="18" t="s">
        <v>228</v>
      </c>
      <c r="D4" s="18" t="s">
        <v>229</v>
      </c>
      <c r="E4" s="18" t="s">
        <v>230</v>
      </c>
    </row>
    <row r="5" customFormat="false" ht="15" hidden="false" customHeight="false" outlineLevel="0" collapsed="false">
      <c r="A5" s="19" t="s">
        <v>523</v>
      </c>
      <c r="B5" s="20" t="s">
        <v>524</v>
      </c>
      <c r="C5" s="24" t="n">
        <f aca="false">Peak_RPS*QUERIES_PER_API_CALL</f>
        <v>20000</v>
      </c>
      <c r="D5" s="25" t="n">
        <f aca="false">C5</f>
        <v>20000</v>
      </c>
      <c r="E5" s="23"/>
    </row>
    <row r="6" customFormat="false" ht="15" hidden="false" customHeight="false" outlineLevel="0" collapsed="false">
      <c r="A6" s="19" t="s">
        <v>525</v>
      </c>
      <c r="B6" s="20" t="s">
        <v>526</v>
      </c>
      <c r="C6" s="24" t="n">
        <f aca="false">C5*READ_WRITE_SPLIT_READ_PCT/100</f>
        <v>16000</v>
      </c>
      <c r="D6" s="25" t="n">
        <f aca="false">C6</f>
        <v>16000</v>
      </c>
      <c r="E6" s="23"/>
    </row>
    <row r="7" customFormat="false" ht="15" hidden="false" customHeight="false" outlineLevel="0" collapsed="false">
      <c r="A7" s="19" t="s">
        <v>527</v>
      </c>
      <c r="B7" s="20" t="s">
        <v>528</v>
      </c>
      <c r="C7" s="24" t="n">
        <f aca="false">C5-C6</f>
        <v>4000</v>
      </c>
      <c r="D7" s="25" t="n">
        <f aca="false">C7</f>
        <v>4000</v>
      </c>
      <c r="E7" s="23"/>
    </row>
    <row r="8" customFormat="false" ht="15" hidden="false" customHeight="false" outlineLevel="0" collapsed="false">
      <c r="A8" s="19" t="s">
        <v>529</v>
      </c>
      <c r="B8" s="20" t="s">
        <v>530</v>
      </c>
      <c r="C8" s="24" t="n">
        <f aca="false">C6*CACHE_HIT_PCT/100</f>
        <v>15200</v>
      </c>
      <c r="D8" s="25" t="n">
        <f aca="false">C8</f>
        <v>15200</v>
      </c>
      <c r="E8" s="23"/>
    </row>
    <row r="9" customFormat="false" ht="15" hidden="false" customHeight="false" outlineLevel="0" collapsed="false">
      <c r="A9" s="19" t="s">
        <v>531</v>
      </c>
      <c r="B9" s="20" t="s">
        <v>532</v>
      </c>
      <c r="C9" s="24" t="n">
        <f aca="false">C6-C8</f>
        <v>800</v>
      </c>
      <c r="D9" s="25" t="n">
        <f aca="false">C9</f>
        <v>800</v>
      </c>
      <c r="E9" s="23"/>
    </row>
    <row r="10" customFormat="false" ht="15" hidden="false" customHeight="false" outlineLevel="0" collapsed="false">
      <c r="A10" s="19" t="s">
        <v>533</v>
      </c>
      <c r="B10" s="20" t="s">
        <v>534</v>
      </c>
      <c r="C10" s="21" t="n">
        <f aca="false">C9+C7</f>
        <v>4800</v>
      </c>
      <c r="D10" s="22" t="n">
        <f aca="false">C10</f>
        <v>4800</v>
      </c>
      <c r="E10" s="23" t="s">
        <v>535</v>
      </c>
    </row>
    <row r="12" customFormat="false" ht="18" hidden="false" customHeight="true" outlineLevel="0" collapsed="false">
      <c r="A12" s="2" t="s">
        <v>536</v>
      </c>
      <c r="B12" s="2"/>
      <c r="C12" s="2"/>
      <c r="D12" s="2"/>
      <c r="E12" s="2"/>
    </row>
    <row r="13" customFormat="false" ht="19.5" hidden="false" customHeight="true" outlineLevel="0" collapsed="false">
      <c r="A13" s="18" t="s">
        <v>226</v>
      </c>
      <c r="B13" s="18" t="s">
        <v>227</v>
      </c>
      <c r="C13" s="18" t="s">
        <v>228</v>
      </c>
      <c r="D13" s="18" t="s">
        <v>229</v>
      </c>
      <c r="E13" s="18" t="s">
        <v>230</v>
      </c>
    </row>
    <row r="14" customFormat="false" ht="15" hidden="false" customHeight="false" outlineLevel="0" collapsed="false">
      <c r="A14" s="19" t="s">
        <v>537</v>
      </c>
      <c r="B14" s="20" t="s">
        <v>538</v>
      </c>
      <c r="C14" s="24" t="n">
        <f aca="false">Actual_DB_QPS*DB_IOPS_PER_QUERY</f>
        <v>5760</v>
      </c>
      <c r="D14" s="25" t="n">
        <f aca="false">C14</f>
        <v>5760</v>
      </c>
      <c r="E14" s="23"/>
    </row>
    <row r="15" customFormat="false" ht="15" hidden="false" customHeight="false" outlineLevel="0" collapsed="false">
      <c r="A15" s="19" t="s">
        <v>539</v>
      </c>
      <c r="B15" s="20" t="s">
        <v>540</v>
      </c>
      <c r="C15" s="21" t="n">
        <f aca="false">C14*2</f>
        <v>11520</v>
      </c>
      <c r="D15" s="22" t="n">
        <f aca="false">C15</f>
        <v>11520</v>
      </c>
      <c r="E15" s="23"/>
    </row>
    <row r="16" customFormat="false" ht="15" hidden="false" customHeight="false" outlineLevel="0" collapsed="false">
      <c r="A16" s="19" t="s">
        <v>541</v>
      </c>
      <c r="B16" s="20" t="s">
        <v>542</v>
      </c>
      <c r="C16" s="44" t="str">
        <f aca="false">"gp3: 16,000 | io2 BE: 256,000"</f>
        <v>gp3: 16,000 | io2 BE: 256,000</v>
      </c>
      <c r="D16" s="45" t="str">
        <f aca="false">C16</f>
        <v>gp3: 16,000 | io2 BE: 256,000</v>
      </c>
      <c r="E16" s="23" t="s">
        <v>543</v>
      </c>
    </row>
    <row r="17" customFormat="false" ht="22.35" hidden="false" customHeight="false" outlineLevel="0" collapsed="false">
      <c r="A17" s="19" t="s">
        <v>544</v>
      </c>
      <c r="B17" s="20" t="s">
        <v>545</v>
      </c>
      <c r="C17" s="21" t="n">
        <f aca="false">ROUNDUP(C15/DB_SSD_IOPS_PER_GB,0)</f>
        <v>231</v>
      </c>
      <c r="D17" s="22" t="n">
        <f aca="false">C17</f>
        <v>231</v>
      </c>
      <c r="E17" s="23"/>
    </row>
    <row r="19" customFormat="false" ht="18" hidden="false" customHeight="true" outlineLevel="0" collapsed="false">
      <c r="A19" s="2" t="s">
        <v>546</v>
      </c>
      <c r="B19" s="2"/>
      <c r="C19" s="2"/>
      <c r="D19" s="2"/>
      <c r="E19" s="2"/>
    </row>
    <row r="20" customFormat="false" ht="19.5" hidden="false" customHeight="true" outlineLevel="0" collapsed="false">
      <c r="A20" s="18" t="s">
        <v>226</v>
      </c>
      <c r="B20" s="18" t="s">
        <v>227</v>
      </c>
      <c r="C20" s="18" t="s">
        <v>228</v>
      </c>
      <c r="D20" s="18" t="s">
        <v>229</v>
      </c>
      <c r="E20" s="18" t="s">
        <v>230</v>
      </c>
    </row>
    <row r="21" customFormat="false" ht="22.35" hidden="false" customHeight="false" outlineLevel="0" collapsed="false">
      <c r="A21" s="19" t="s">
        <v>547</v>
      </c>
      <c r="B21" s="20" t="s">
        <v>548</v>
      </c>
      <c r="C21" s="24" t="n">
        <f aca="false">(Cores_Per_App_Instance*DB_CONN_MULTIPLIER)+DB_CONN_OVERHEAD</f>
        <v>9</v>
      </c>
      <c r="D21" s="25" t="n">
        <f aca="false">C21</f>
        <v>9</v>
      </c>
      <c r="E21" s="23"/>
    </row>
    <row r="22" customFormat="false" ht="22.35" hidden="false" customHeight="false" outlineLevel="0" collapsed="false">
      <c r="A22" s="19" t="s">
        <v>549</v>
      </c>
      <c r="B22" s="20" t="s">
        <v>550</v>
      </c>
      <c r="C22" s="24" t="n">
        <f aca="false">Total_App_Instances</f>
        <v>29</v>
      </c>
      <c r="D22" s="25" t="n">
        <f aca="false">C22</f>
        <v>29</v>
      </c>
      <c r="E22" s="23"/>
    </row>
    <row r="23" customFormat="false" ht="15" hidden="false" customHeight="false" outlineLevel="0" collapsed="false">
      <c r="A23" s="19" t="s">
        <v>551</v>
      </c>
      <c r="B23" s="20" t="s">
        <v>552</v>
      </c>
      <c r="C23" s="24" t="n">
        <f aca="false">Total_App_Instances*C21</f>
        <v>261</v>
      </c>
      <c r="D23" s="25" t="n">
        <f aca="false">C23</f>
        <v>261</v>
      </c>
      <c r="E23" s="23"/>
    </row>
    <row r="24" customFormat="false" ht="15" hidden="false" customHeight="false" outlineLevel="0" collapsed="false">
      <c r="A24" s="19" t="s">
        <v>553</v>
      </c>
      <c r="B24" s="20" t="s">
        <v>554</v>
      </c>
      <c r="C24" s="21" t="n">
        <f aca="false">ROUNDUP(C23*1.5,0)</f>
        <v>392</v>
      </c>
      <c r="D24" s="22" t="n">
        <f aca="false">C24</f>
        <v>392</v>
      </c>
      <c r="E24" s="23" t="s">
        <v>555</v>
      </c>
    </row>
    <row r="26" customFormat="false" ht="18" hidden="false" customHeight="true" outlineLevel="0" collapsed="false">
      <c r="A26" s="2" t="s">
        <v>556</v>
      </c>
      <c r="B26" s="2"/>
      <c r="C26" s="2"/>
      <c r="D26" s="2"/>
      <c r="E26" s="2"/>
    </row>
    <row r="27" customFormat="false" ht="19.5" hidden="false" customHeight="true" outlineLevel="0" collapsed="false">
      <c r="A27" s="18" t="s">
        <v>226</v>
      </c>
      <c r="B27" s="18" t="s">
        <v>227</v>
      </c>
      <c r="C27" s="18" t="s">
        <v>228</v>
      </c>
      <c r="D27" s="18" t="s">
        <v>229</v>
      </c>
      <c r="E27" s="18" t="s">
        <v>230</v>
      </c>
    </row>
    <row r="28" customFormat="false" ht="15" hidden="false" customHeight="false" outlineLevel="0" collapsed="false">
      <c r="A28" s="19" t="s">
        <v>557</v>
      </c>
      <c r="B28" s="20" t="s">
        <v>558</v>
      </c>
      <c r="C28" s="24" t="n">
        <f aca="false">C7*86400</f>
        <v>345600000</v>
      </c>
      <c r="D28" s="25" t="n">
        <f aca="false">C28</f>
        <v>345600000</v>
      </c>
      <c r="E28" s="23"/>
    </row>
    <row r="29" customFormat="false" ht="15" hidden="false" customHeight="false" outlineLevel="0" collapsed="false">
      <c r="A29" s="19" t="s">
        <v>559</v>
      </c>
      <c r="B29" s="20" t="s">
        <v>560</v>
      </c>
      <c r="C29" s="24" t="n">
        <f aca="false">C28*DB_HOT_RETENTION_DAYS</f>
        <v>10368000000</v>
      </c>
      <c r="D29" s="25" t="n">
        <f aca="false">C29</f>
        <v>10368000000</v>
      </c>
      <c r="E29" s="23"/>
    </row>
    <row r="30" customFormat="false" ht="22.35" hidden="false" customHeight="false" outlineLevel="0" collapsed="false">
      <c r="A30" s="19" t="s">
        <v>561</v>
      </c>
      <c r="B30" s="20" t="s">
        <v>562</v>
      </c>
      <c r="C30" s="24" t="n">
        <f aca="false">C29*DB_ROW_SIZE_KB/1024/1024</f>
        <v>19775.390625</v>
      </c>
      <c r="D30" s="25" t="n">
        <f aca="false">C30</f>
        <v>19775.390625</v>
      </c>
      <c r="E30" s="23"/>
    </row>
    <row r="31" customFormat="false" ht="15" hidden="false" customHeight="false" outlineLevel="0" collapsed="false">
      <c r="A31" s="19" t="s">
        <v>563</v>
      </c>
      <c r="B31" s="20" t="s">
        <v>564</v>
      </c>
      <c r="C31" s="24" t="n">
        <f aca="false">C30*1.5</f>
        <v>29663.0859375</v>
      </c>
      <c r="D31" s="25" t="n">
        <f aca="false">C31</f>
        <v>29663.0859375</v>
      </c>
      <c r="E31" s="23"/>
    </row>
    <row r="32" customFormat="false" ht="15" hidden="false" customHeight="false" outlineLevel="0" collapsed="false">
      <c r="A32" s="19" t="s">
        <v>565</v>
      </c>
      <c r="B32" s="20" t="s">
        <v>540</v>
      </c>
      <c r="C32" s="21" t="n">
        <f aca="false">C31*2</f>
        <v>59326.171875</v>
      </c>
      <c r="D32" s="22" t="n">
        <f aca="false">C32</f>
        <v>59326.171875</v>
      </c>
      <c r="E32" s="23"/>
    </row>
    <row r="33" customFormat="false" ht="22.35" hidden="false" customHeight="false" outlineLevel="0" collapsed="false">
      <c r="A33" s="19" t="s">
        <v>566</v>
      </c>
      <c r="B33" s="20" t="s">
        <v>567</v>
      </c>
      <c r="C33" s="21" t="n">
        <f aca="false">C31*1</f>
        <v>29663.0859375</v>
      </c>
      <c r="D33" s="22" t="n">
        <f aca="false">C33</f>
        <v>29663.0859375</v>
      </c>
      <c r="E33" s="23" t="s">
        <v>568</v>
      </c>
    </row>
    <row r="35" customFormat="false" ht="18" hidden="false" customHeight="true" outlineLevel="0" collapsed="false">
      <c r="A35" s="2" t="s">
        <v>569</v>
      </c>
      <c r="B35" s="2"/>
      <c r="C35" s="2"/>
      <c r="D35" s="2"/>
      <c r="E35" s="2"/>
    </row>
    <row r="36" customFormat="false" ht="19.5" hidden="false" customHeight="true" outlineLevel="0" collapsed="false">
      <c r="A36" s="18" t="s">
        <v>226</v>
      </c>
      <c r="B36" s="18" t="s">
        <v>227</v>
      </c>
      <c r="C36" s="18" t="s">
        <v>228</v>
      </c>
      <c r="D36" s="18" t="s">
        <v>229</v>
      </c>
      <c r="E36" s="18" t="s">
        <v>230</v>
      </c>
    </row>
    <row r="37" customFormat="false" ht="15" hidden="false" customHeight="false" outlineLevel="0" collapsed="false">
      <c r="A37" s="19" t="s">
        <v>570</v>
      </c>
      <c r="B37" s="20" t="s">
        <v>571</v>
      </c>
      <c r="C37" s="24" t="n">
        <f aca="false">ROUNDUP(C30*0.25,0)</f>
        <v>4944</v>
      </c>
      <c r="D37" s="25" t="n">
        <f aca="false">C37</f>
        <v>4944</v>
      </c>
      <c r="E37" s="23"/>
    </row>
    <row r="38" customFormat="false" ht="15" hidden="false" customHeight="false" outlineLevel="0" collapsed="false">
      <c r="A38" s="19" t="s">
        <v>572</v>
      </c>
      <c r="B38" s="20" t="s">
        <v>573</v>
      </c>
      <c r="C38" s="21" t="n">
        <f aca="false">MAX(8,ROUNDUP(Actual_DB_QPS/2000,0))</f>
        <v>8</v>
      </c>
      <c r="D38" s="22" t="n">
        <f aca="false">C38</f>
        <v>8</v>
      </c>
      <c r="E38" s="23"/>
    </row>
    <row r="39" customFormat="false" ht="15" hidden="false" customHeight="false" outlineLevel="0" collapsed="false">
      <c r="A39" s="19" t="s">
        <v>574</v>
      </c>
      <c r="B39" s="20" t="s">
        <v>575</v>
      </c>
      <c r="C39" s="44" t="str">
        <f aca="false">"1x r6i.2xlarge (8 vCPU, 64GB)"</f>
        <v>1x r6i.2xlarge (8 vCPU, 64GB)</v>
      </c>
      <c r="D39" s="45" t="str">
        <f aca="false">C39</f>
        <v>1x r6i.2xlarge (8 vCPU, 64GB)</v>
      </c>
      <c r="E39" s="23"/>
    </row>
    <row r="40" customFormat="false" ht="22.35" hidden="false" customHeight="false" outlineLevel="0" collapsed="false">
      <c r="A40" s="19" t="s">
        <v>576</v>
      </c>
      <c r="B40" s="20" t="s">
        <v>577</v>
      </c>
      <c r="C40" s="21" t="n">
        <f aca="false">ROUNDUP(C6/DB_READ_REPLICA_QPS,0)</f>
        <v>4</v>
      </c>
      <c r="D40" s="22" t="n">
        <f aca="false">C40</f>
        <v>4</v>
      </c>
      <c r="E40" s="23"/>
    </row>
    <row r="42" customFormat="false" ht="18" hidden="false" customHeight="true" outlineLevel="0" collapsed="false">
      <c r="A42" s="2" t="s">
        <v>578</v>
      </c>
      <c r="B42" s="2"/>
      <c r="C42" s="2"/>
      <c r="D42" s="2"/>
      <c r="E42" s="2"/>
    </row>
    <row r="43" customFormat="false" ht="15" hidden="false" customHeight="true" outlineLevel="0" collapsed="false">
      <c r="A43" s="3" t="s">
        <v>579</v>
      </c>
      <c r="B43" s="3"/>
      <c r="C43" s="3"/>
      <c r="D43" s="3"/>
      <c r="E43" s="3"/>
    </row>
    <row r="45" customFormat="false" ht="60" hidden="false" customHeight="true" outlineLevel="0" collapsed="false">
      <c r="A45" s="26" t="s">
        <v>580</v>
      </c>
      <c r="B45" s="26"/>
      <c r="C45" s="26"/>
      <c r="D45" s="26"/>
      <c r="E45" s="26"/>
    </row>
  </sheetData>
  <mergeCells count="9">
    <mergeCell ref="A1:E1"/>
    <mergeCell ref="A3:E3"/>
    <mergeCell ref="A12:E12"/>
    <mergeCell ref="A19:E19"/>
    <mergeCell ref="A26:E26"/>
    <mergeCell ref="A35:E35"/>
    <mergeCell ref="A42:E42"/>
    <mergeCell ref="A43:E43"/>
    <mergeCell ref="A45:E45"/>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0"/>
  </cols>
  <sheetData>
    <row r="1" customFormat="false" ht="25.5" hidden="false" customHeight="true" outlineLevel="0" collapsed="false">
      <c r="A1" s="1" t="s">
        <v>581</v>
      </c>
      <c r="B1" s="1"/>
      <c r="C1" s="1"/>
      <c r="D1" s="1"/>
      <c r="E1" s="1"/>
    </row>
    <row r="3" customFormat="false" ht="18" hidden="false" customHeight="true" outlineLevel="0" collapsed="false">
      <c r="A3" s="2" t="s">
        <v>582</v>
      </c>
      <c r="B3" s="2"/>
      <c r="C3" s="2"/>
      <c r="D3" s="2"/>
      <c r="E3" s="2"/>
    </row>
    <row r="4" customFormat="false" ht="19.5" hidden="false" customHeight="true" outlineLevel="0" collapsed="false">
      <c r="A4" s="18" t="s">
        <v>226</v>
      </c>
      <c r="B4" s="18" t="s">
        <v>227</v>
      </c>
      <c r="C4" s="18" t="s">
        <v>228</v>
      </c>
      <c r="D4" s="18" t="s">
        <v>229</v>
      </c>
      <c r="E4" s="18" t="s">
        <v>230</v>
      </c>
    </row>
    <row r="5" customFormat="false" ht="15" hidden="false" customHeight="false" outlineLevel="0" collapsed="false">
      <c r="A5" s="19" t="s">
        <v>583</v>
      </c>
      <c r="B5" s="20" t="s">
        <v>584</v>
      </c>
      <c r="C5" s="24" t="n">
        <f aca="false">DAU*SESSION_SIZE_KB/1024/1024</f>
        <v>2.86102294921875</v>
      </c>
      <c r="D5" s="25" t="n">
        <f aca="false">C5</f>
        <v>2.86102294921875</v>
      </c>
      <c r="E5" s="23"/>
    </row>
    <row r="6" customFormat="false" ht="22.35" hidden="false" customHeight="false" outlineLevel="0" collapsed="false">
      <c r="A6" s="19" t="s">
        <v>585</v>
      </c>
      <c r="B6" s="20" t="s">
        <v>586</v>
      </c>
      <c r="C6" s="24" t="n">
        <f aca="false">CATALOG_SKUS*CATALOG_ENTRY_KB/1024/1024</f>
        <v>1.43051147460938</v>
      </c>
      <c r="D6" s="25" t="n">
        <f aca="false">C6</f>
        <v>1.43051147460938</v>
      </c>
      <c r="E6" s="23"/>
    </row>
    <row r="7" customFormat="false" ht="22.35" hidden="false" customHeight="false" outlineLevel="0" collapsed="false">
      <c r="A7" s="19" t="s">
        <v>587</v>
      </c>
      <c r="B7" s="20" t="s">
        <v>588</v>
      </c>
      <c r="C7" s="24" t="n">
        <f aca="false">HOT_SKU_COUNT*HOT_SKU_ENTRY_KB/1024/1024</f>
        <v>0.095367431640625</v>
      </c>
      <c r="D7" s="25" t="n">
        <f aca="false">C7</f>
        <v>0.095367431640625</v>
      </c>
      <c r="E7" s="23"/>
    </row>
    <row r="8" customFormat="false" ht="15" hidden="false" customHeight="false" outlineLevel="0" collapsed="false">
      <c r="A8" s="19" t="s">
        <v>589</v>
      </c>
      <c r="B8" s="20" t="s">
        <v>590</v>
      </c>
      <c r="C8" s="24" t="n">
        <f aca="false">C5+C6+C7</f>
        <v>4.38690185546875</v>
      </c>
      <c r="D8" s="25" t="n">
        <f aca="false">C8</f>
        <v>4.38690185546875</v>
      </c>
      <c r="E8" s="23"/>
    </row>
    <row r="9" customFormat="false" ht="15" hidden="false" customHeight="false" outlineLevel="0" collapsed="false">
      <c r="A9" s="19" t="s">
        <v>591</v>
      </c>
      <c r="B9" s="20" t="s">
        <v>592</v>
      </c>
      <c r="C9" s="21" t="n">
        <f aca="false">C8*CACHE_OVERHEAD_FACTOR</f>
        <v>5.70297241210938</v>
      </c>
      <c r="D9" s="22" t="n">
        <f aca="false">C9</f>
        <v>5.70297241210938</v>
      </c>
      <c r="E9" s="23"/>
    </row>
    <row r="10" customFormat="false" ht="22.35" hidden="false" customHeight="false" outlineLevel="0" collapsed="false">
      <c r="A10" s="19" t="s">
        <v>593</v>
      </c>
      <c r="B10" s="20" t="s">
        <v>594</v>
      </c>
      <c r="C10" s="21" t="n">
        <f aca="false">ROUNDUP((C9/REDIS_SHARDS)*REDIS_HEADROOM,0)</f>
        <v>3</v>
      </c>
      <c r="D10" s="22" t="n">
        <f aca="false">C10</f>
        <v>3</v>
      </c>
      <c r="E10" s="23"/>
    </row>
    <row r="11" customFormat="false" ht="15" hidden="false" customHeight="false" outlineLevel="0" collapsed="false">
      <c r="A11" s="19" t="s">
        <v>595</v>
      </c>
      <c r="B11" s="20" t="s">
        <v>596</v>
      </c>
      <c r="C11" s="21" t="n">
        <f aca="false">C10*REDIS_SHARDS</f>
        <v>9</v>
      </c>
      <c r="D11" s="22" t="n">
        <f aca="false">C11</f>
        <v>9</v>
      </c>
      <c r="E11" s="23"/>
    </row>
    <row r="13" customFormat="false" ht="18" hidden="false" customHeight="true" outlineLevel="0" collapsed="false">
      <c r="A13" s="2" t="s">
        <v>597</v>
      </c>
      <c r="B13" s="2"/>
      <c r="C13" s="2"/>
      <c r="D13" s="2"/>
      <c r="E13" s="2"/>
    </row>
    <row r="14" customFormat="false" ht="19.5" hidden="false" customHeight="true" outlineLevel="0" collapsed="false">
      <c r="A14" s="18" t="s">
        <v>226</v>
      </c>
      <c r="B14" s="18" t="s">
        <v>227</v>
      </c>
      <c r="C14" s="18" t="s">
        <v>228</v>
      </c>
      <c r="D14" s="18" t="s">
        <v>229</v>
      </c>
      <c r="E14" s="18" t="s">
        <v>230</v>
      </c>
    </row>
    <row r="15" customFormat="false" ht="15" hidden="false" customHeight="false" outlineLevel="0" collapsed="false">
      <c r="A15" s="19" t="s">
        <v>598</v>
      </c>
      <c r="B15" s="20" t="s">
        <v>524</v>
      </c>
      <c r="C15" s="24" t="n">
        <f aca="false">Peak_RPS*QUERIES_PER_API_CALL</f>
        <v>20000</v>
      </c>
      <c r="D15" s="25" t="n">
        <f aca="false">C15</f>
        <v>20000</v>
      </c>
      <c r="E15" s="23"/>
    </row>
    <row r="16" customFormat="false" ht="15" hidden="false" customHeight="false" outlineLevel="0" collapsed="false">
      <c r="A16" s="19" t="s">
        <v>599</v>
      </c>
      <c r="B16" s="20" t="s">
        <v>600</v>
      </c>
      <c r="C16" s="24" t="n">
        <f aca="false">C15*CACHE_HIT_PCT/100</f>
        <v>19000</v>
      </c>
      <c r="D16" s="25" t="n">
        <f aca="false">C16</f>
        <v>19000</v>
      </c>
      <c r="E16" s="23"/>
    </row>
    <row r="17" customFormat="false" ht="22.35" hidden="false" customHeight="false" outlineLevel="0" collapsed="false">
      <c r="A17" s="19" t="s">
        <v>601</v>
      </c>
      <c r="B17" s="20" t="s">
        <v>602</v>
      </c>
      <c r="C17" s="21" t="n">
        <f aca="false">MAX(3,ROUNDUP(C15/REDIS_OPS_PER_NODE,0))</f>
        <v>3</v>
      </c>
      <c r="D17" s="22" t="n">
        <f aca="false">C17</f>
        <v>3</v>
      </c>
      <c r="E17" s="23"/>
    </row>
    <row r="19" customFormat="false" ht="18" hidden="false" customHeight="true" outlineLevel="0" collapsed="false">
      <c r="A19" s="2" t="s">
        <v>603</v>
      </c>
      <c r="B19" s="2"/>
      <c r="C19" s="2"/>
      <c r="D19" s="2"/>
      <c r="E19" s="2"/>
    </row>
    <row r="20" customFormat="false" ht="15" hidden="false" customHeight="false" outlineLevel="0" collapsed="false">
      <c r="A20" s="43" t="s">
        <v>604</v>
      </c>
      <c r="B20" s="43"/>
      <c r="C20" s="43"/>
      <c r="D20" s="43"/>
      <c r="E20" s="43"/>
    </row>
    <row r="21" customFormat="false" ht="15" hidden="false" customHeight="false" outlineLevel="0" collapsed="false">
      <c r="A21" s="43" t="s">
        <v>605</v>
      </c>
      <c r="B21" s="43"/>
      <c r="C21" s="43"/>
      <c r="D21" s="43"/>
      <c r="E21" s="43"/>
    </row>
    <row r="22" customFormat="false" ht="15" hidden="false" customHeight="false" outlineLevel="0" collapsed="false">
      <c r="A22" s="43" t="s">
        <v>606</v>
      </c>
      <c r="B22" s="43"/>
      <c r="C22" s="43"/>
      <c r="D22" s="43"/>
      <c r="E22" s="43"/>
    </row>
    <row r="23" customFormat="false" ht="15" hidden="false" customHeight="false" outlineLevel="0" collapsed="false">
      <c r="A23" s="43" t="s">
        <v>607</v>
      </c>
      <c r="B23" s="43"/>
      <c r="C23" s="43"/>
      <c r="D23" s="43"/>
      <c r="E23" s="43"/>
    </row>
    <row r="25" customFormat="false" ht="60" hidden="false" customHeight="true" outlineLevel="0" collapsed="false">
      <c r="A25" s="26" t="s">
        <v>608</v>
      </c>
      <c r="B25" s="26"/>
      <c r="C25" s="26"/>
      <c r="D25" s="26"/>
      <c r="E25" s="26"/>
    </row>
  </sheetData>
  <mergeCells count="9">
    <mergeCell ref="A1:E1"/>
    <mergeCell ref="A3:E3"/>
    <mergeCell ref="A13:E13"/>
    <mergeCell ref="A19:E19"/>
    <mergeCell ref="A20:E20"/>
    <mergeCell ref="A21:E21"/>
    <mergeCell ref="A22:E22"/>
    <mergeCell ref="A23:E23"/>
    <mergeCell ref="A25:E25"/>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2"/>
  </cols>
  <sheetData>
    <row r="1" customFormat="false" ht="25.5" hidden="false" customHeight="true" outlineLevel="0" collapsed="false">
      <c r="A1" s="1" t="s">
        <v>609</v>
      </c>
      <c r="B1" s="1"/>
      <c r="C1" s="1"/>
      <c r="D1" s="1"/>
      <c r="E1" s="1"/>
    </row>
    <row r="3" customFormat="false" ht="18" hidden="false" customHeight="true" outlineLevel="0" collapsed="false">
      <c r="A3" s="2" t="s">
        <v>610</v>
      </c>
      <c r="B3" s="2"/>
      <c r="C3" s="2"/>
      <c r="D3" s="2"/>
      <c r="E3" s="2"/>
    </row>
    <row r="4" customFormat="false" ht="19.5" hidden="false" customHeight="true" outlineLevel="0" collapsed="false">
      <c r="A4" s="18" t="s">
        <v>226</v>
      </c>
      <c r="B4" s="18" t="s">
        <v>227</v>
      </c>
      <c r="C4" s="18" t="s">
        <v>228</v>
      </c>
      <c r="D4" s="18" t="s">
        <v>229</v>
      </c>
      <c r="E4" s="18" t="s">
        <v>230</v>
      </c>
    </row>
    <row r="5" customFormat="false" ht="15" hidden="false" customHeight="false" outlineLevel="0" collapsed="false">
      <c r="A5" s="19" t="s">
        <v>611</v>
      </c>
      <c r="B5" s="20" t="s">
        <v>175</v>
      </c>
      <c r="C5" s="46" t="n">
        <f aca="false">Retry_Backoff_Base_sec</f>
        <v>5</v>
      </c>
      <c r="D5" s="25" t="n">
        <f aca="false">C5</f>
        <v>5</v>
      </c>
      <c r="E5" s="23"/>
    </row>
    <row r="6" customFormat="false" ht="15" hidden="false" customHeight="false" outlineLevel="0" collapsed="false">
      <c r="A6" s="19" t="s">
        <v>612</v>
      </c>
      <c r="B6" s="20" t="s">
        <v>613</v>
      </c>
      <c r="C6" s="24" t="n">
        <f aca="false">Retry_Backoff_Base_sec*Retry_Backoff_Multiplier</f>
        <v>10</v>
      </c>
      <c r="D6" s="25" t="n">
        <f aca="false">C6</f>
        <v>10</v>
      </c>
      <c r="E6" s="23"/>
    </row>
    <row r="7" customFormat="false" ht="15" hidden="false" customHeight="false" outlineLevel="0" collapsed="false">
      <c r="A7" s="19" t="s">
        <v>614</v>
      </c>
      <c r="B7" s="20" t="s">
        <v>615</v>
      </c>
      <c r="C7" s="24" t="n">
        <f aca="false">Retry_Backoff_Base_sec*Retry_Backoff_Multiplier^2</f>
        <v>20</v>
      </c>
      <c r="D7" s="25" t="n">
        <f aca="false">C7</f>
        <v>20</v>
      </c>
      <c r="E7" s="23"/>
    </row>
    <row r="8" customFormat="false" ht="15" hidden="false" customHeight="false" outlineLevel="0" collapsed="false">
      <c r="A8" s="19" t="s">
        <v>616</v>
      </c>
      <c r="B8" s="20" t="s">
        <v>617</v>
      </c>
      <c r="C8" s="24" t="n">
        <f aca="false">Retry_Backoff_Base_sec*Retry_Backoff_Multiplier^3</f>
        <v>40</v>
      </c>
      <c r="D8" s="25" t="n">
        <f aca="false">C8</f>
        <v>40</v>
      </c>
      <c r="E8" s="23"/>
    </row>
    <row r="9" customFormat="false" ht="15" hidden="false" customHeight="false" outlineLevel="0" collapsed="false">
      <c r="A9" s="19" t="s">
        <v>618</v>
      </c>
      <c r="B9" s="20" t="s">
        <v>619</v>
      </c>
      <c r="C9" s="21" t="n">
        <f aca="false">C5+C6+C7+C8</f>
        <v>75</v>
      </c>
      <c r="D9" s="22" t="n">
        <f aca="false">C9</f>
        <v>75</v>
      </c>
      <c r="E9" s="23"/>
    </row>
    <row r="10" customFormat="false" ht="22.35" hidden="false" customHeight="false" outlineLevel="0" collapsed="false">
      <c r="A10" s="19" t="s">
        <v>620</v>
      </c>
      <c r="B10" s="20" t="s">
        <v>621</v>
      </c>
      <c r="C10" s="21" t="n">
        <f aca="false">(1-0.99^Max_Retries)*100</f>
        <v>2.9701</v>
      </c>
      <c r="D10" s="22" t="n">
        <f aca="false">C10</f>
        <v>2.9701</v>
      </c>
      <c r="E10" s="23"/>
    </row>
    <row r="11" customFormat="false" ht="22.35" hidden="false" customHeight="false" outlineLevel="0" collapsed="false">
      <c r="A11" s="19" t="s">
        <v>622</v>
      </c>
      <c r="B11" s="20" t="s">
        <v>623</v>
      </c>
      <c r="C11" s="21" t="n">
        <f aca="false">Daily_Requests*C10/100</f>
        <v>1782060</v>
      </c>
      <c r="D11" s="22" t="n">
        <f aca="false">C11</f>
        <v>1782060</v>
      </c>
      <c r="E11" s="23"/>
    </row>
    <row r="13" customFormat="false" ht="18" hidden="false" customHeight="true" outlineLevel="0" collapsed="false">
      <c r="A13" s="2" t="s">
        <v>624</v>
      </c>
      <c r="B13" s="2"/>
      <c r="C13" s="2"/>
      <c r="D13" s="2"/>
      <c r="E13" s="2"/>
    </row>
    <row r="14" customFormat="false" ht="15" hidden="false" customHeight="true" outlineLevel="0" collapsed="false">
      <c r="A14" s="47" t="s">
        <v>625</v>
      </c>
      <c r="B14" s="47"/>
      <c r="C14" s="47"/>
      <c r="D14" s="47"/>
      <c r="E14" s="47"/>
    </row>
    <row r="16" customFormat="false" ht="18" hidden="false" customHeight="true" outlineLevel="0" collapsed="false">
      <c r="A16" s="2" t="s">
        <v>626</v>
      </c>
      <c r="B16" s="2"/>
      <c r="C16" s="2"/>
      <c r="D16" s="2"/>
      <c r="E16" s="2"/>
    </row>
    <row r="17" customFormat="false" ht="15" hidden="false" customHeight="false" outlineLevel="0" collapsed="false">
      <c r="A17" s="43" t="s">
        <v>627</v>
      </c>
      <c r="B17" s="43"/>
      <c r="C17" s="43"/>
      <c r="D17" s="43"/>
      <c r="E17" s="43"/>
    </row>
    <row r="18" customFormat="false" ht="15" hidden="false" customHeight="false" outlineLevel="0" collapsed="false">
      <c r="A18" s="43" t="s">
        <v>628</v>
      </c>
      <c r="B18" s="43"/>
      <c r="C18" s="43"/>
      <c r="D18" s="43"/>
      <c r="E18" s="43"/>
    </row>
    <row r="19" customFormat="false" ht="15" hidden="false" customHeight="false" outlineLevel="0" collapsed="false">
      <c r="A19" s="43" t="s">
        <v>629</v>
      </c>
      <c r="B19" s="43"/>
      <c r="C19" s="43"/>
      <c r="D19" s="43"/>
      <c r="E19" s="43"/>
    </row>
    <row r="20" customFormat="false" ht="15" hidden="false" customHeight="false" outlineLevel="0" collapsed="false">
      <c r="A20" s="43" t="s">
        <v>630</v>
      </c>
      <c r="B20" s="43"/>
      <c r="C20" s="43"/>
      <c r="D20" s="43"/>
      <c r="E20" s="43"/>
    </row>
    <row r="21" customFormat="false" ht="15" hidden="false" customHeight="false" outlineLevel="0" collapsed="false">
      <c r="A21" s="43" t="s">
        <v>631</v>
      </c>
      <c r="B21" s="43"/>
      <c r="C21" s="43"/>
      <c r="D21" s="43"/>
      <c r="E21" s="43"/>
    </row>
    <row r="22" customFormat="false" ht="15" hidden="false" customHeight="false" outlineLevel="0" collapsed="false">
      <c r="A22" s="43" t="s">
        <v>632</v>
      </c>
      <c r="B22" s="43"/>
      <c r="C22" s="43"/>
      <c r="D22" s="43"/>
      <c r="E22" s="43"/>
    </row>
    <row r="23" customFormat="false" ht="15" hidden="false" customHeight="false" outlineLevel="0" collapsed="false">
      <c r="A23" s="43" t="s">
        <v>633</v>
      </c>
      <c r="B23" s="43"/>
      <c r="C23" s="43"/>
      <c r="D23" s="43"/>
      <c r="E23" s="43"/>
    </row>
    <row r="24" customFormat="false" ht="15" hidden="false" customHeight="false" outlineLevel="0" collapsed="false">
      <c r="A24" s="43" t="s">
        <v>634</v>
      </c>
      <c r="B24" s="43"/>
      <c r="C24" s="43"/>
      <c r="D24" s="43"/>
      <c r="E24" s="43"/>
    </row>
    <row r="25" customFormat="false" ht="15" hidden="false" customHeight="false" outlineLevel="0" collapsed="false">
      <c r="A25" s="43" t="s">
        <v>635</v>
      </c>
      <c r="B25" s="43"/>
      <c r="C25" s="43"/>
      <c r="D25" s="43"/>
      <c r="E25" s="43"/>
    </row>
    <row r="26" customFormat="false" ht="15" hidden="false" customHeight="false" outlineLevel="0" collapsed="false">
      <c r="A26" s="43" t="s">
        <v>636</v>
      </c>
      <c r="B26" s="43"/>
      <c r="C26" s="43"/>
      <c r="D26" s="43"/>
      <c r="E26" s="43"/>
    </row>
    <row r="27" customFormat="false" ht="15" hidden="false" customHeight="false" outlineLevel="0" collapsed="false">
      <c r="A27" s="43" t="s">
        <v>637</v>
      </c>
      <c r="B27" s="43"/>
      <c r="C27" s="43"/>
      <c r="D27" s="43"/>
      <c r="E27" s="43"/>
    </row>
    <row r="28" customFormat="false" ht="15" hidden="false" customHeight="false" outlineLevel="0" collapsed="false">
      <c r="A28" s="43" t="s">
        <v>638</v>
      </c>
      <c r="B28" s="43"/>
      <c r="C28" s="43"/>
      <c r="D28" s="43"/>
      <c r="E28" s="43"/>
    </row>
    <row r="29" customFormat="false" ht="15" hidden="false" customHeight="false" outlineLevel="0" collapsed="false">
      <c r="A29" s="43" t="s">
        <v>639</v>
      </c>
      <c r="B29" s="43"/>
      <c r="C29" s="43"/>
      <c r="D29" s="43"/>
      <c r="E29" s="43"/>
    </row>
    <row r="31" customFormat="false" ht="18" hidden="false" customHeight="true" outlineLevel="0" collapsed="false">
      <c r="A31" s="2" t="s">
        <v>640</v>
      </c>
      <c r="B31" s="2"/>
      <c r="C31" s="2"/>
      <c r="D31" s="2"/>
      <c r="E31" s="2"/>
    </row>
    <row r="32" customFormat="false" ht="19.5" hidden="false" customHeight="true" outlineLevel="0" collapsed="false">
      <c r="A32" s="18" t="s">
        <v>226</v>
      </c>
      <c r="B32" s="18" t="s">
        <v>227</v>
      </c>
      <c r="C32" s="18" t="s">
        <v>228</v>
      </c>
      <c r="D32" s="18" t="s">
        <v>229</v>
      </c>
      <c r="E32" s="18" t="s">
        <v>230</v>
      </c>
    </row>
    <row r="33" customFormat="false" ht="15" hidden="false" customHeight="false" outlineLevel="0" collapsed="false">
      <c r="A33" s="19" t="s">
        <v>641</v>
      </c>
      <c r="B33" s="48" t="n">
        <f aca="false">Reprocess_Batch_Size</f>
        <v>1000</v>
      </c>
      <c r="C33" s="46" t="n">
        <f aca="false">Reprocess_Batch_Size</f>
        <v>1000</v>
      </c>
      <c r="D33" s="25" t="n">
        <f aca="false">C33</f>
        <v>1000</v>
      </c>
      <c r="E33" s="23"/>
    </row>
    <row r="34" customFormat="false" ht="15" hidden="false" customHeight="false" outlineLevel="0" collapsed="false">
      <c r="A34" s="19" t="s">
        <v>642</v>
      </c>
      <c r="B34" s="20" t="s">
        <v>297</v>
      </c>
      <c r="C34" s="28" t="n">
        <f aca="false">4</f>
        <v>4</v>
      </c>
      <c r="D34" s="29" t="n">
        <f aca="false">C34</f>
        <v>4</v>
      </c>
      <c r="E34" s="23"/>
    </row>
    <row r="35" customFormat="false" ht="15" hidden="false" customHeight="false" outlineLevel="0" collapsed="false">
      <c r="A35" s="19" t="s">
        <v>643</v>
      </c>
      <c r="B35" s="20" t="s">
        <v>644</v>
      </c>
      <c r="C35" s="24" t="n">
        <f aca="false">Reprocess_Batch_Size*C34/Reprocess_Interval_min</f>
        <v>266.666666666667</v>
      </c>
      <c r="D35" s="25" t="n">
        <f aca="false">C35</f>
        <v>266.666666666667</v>
      </c>
      <c r="E35" s="23"/>
    </row>
    <row r="36" customFormat="false" ht="15" hidden="false" customHeight="false" outlineLevel="0" collapsed="false">
      <c r="A36" s="19" t="s">
        <v>645</v>
      </c>
      <c r="B36" s="20" t="s">
        <v>646</v>
      </c>
      <c r="C36" s="21" t="n">
        <f aca="false">DLQ_Msgs_Per_Day/C35/60</f>
        <v>111.37875</v>
      </c>
      <c r="D36" s="22" t="n">
        <f aca="false">C36</f>
        <v>111.37875</v>
      </c>
      <c r="E36" s="23"/>
    </row>
    <row r="37" customFormat="false" ht="15" hidden="false" customHeight="false" outlineLevel="0" collapsed="false">
      <c r="A37" s="19" t="s">
        <v>647</v>
      </c>
      <c r="B37" s="20" t="s">
        <v>648</v>
      </c>
      <c r="C37" s="28" t="n">
        <f aca="false">100</f>
        <v>100</v>
      </c>
      <c r="D37" s="29" t="n">
        <f aca="false">C37</f>
        <v>100</v>
      </c>
      <c r="E37" s="23"/>
    </row>
    <row r="39" customFormat="false" ht="18" hidden="false" customHeight="true" outlineLevel="0" collapsed="false">
      <c r="A39" s="2" t="s">
        <v>649</v>
      </c>
      <c r="B39" s="2"/>
      <c r="C39" s="2"/>
      <c r="D39" s="2"/>
      <c r="E39" s="2"/>
    </row>
    <row r="40" customFormat="false" ht="15" hidden="false" customHeight="false" outlineLevel="0" collapsed="false">
      <c r="A40" s="43" t="s">
        <v>650</v>
      </c>
      <c r="B40" s="43"/>
      <c r="C40" s="43"/>
      <c r="D40" s="43"/>
      <c r="E40" s="43"/>
    </row>
    <row r="41" customFormat="false" ht="15" hidden="false" customHeight="false" outlineLevel="0" collapsed="false">
      <c r="A41" s="43" t="s">
        <v>651</v>
      </c>
      <c r="B41" s="43"/>
      <c r="C41" s="43"/>
      <c r="D41" s="43"/>
      <c r="E41" s="43"/>
    </row>
    <row r="42" customFormat="false" ht="15" hidden="false" customHeight="false" outlineLevel="0" collapsed="false">
      <c r="A42" s="43" t="s">
        <v>652</v>
      </c>
      <c r="B42" s="43"/>
      <c r="C42" s="43"/>
      <c r="D42" s="43"/>
      <c r="E42" s="43"/>
    </row>
    <row r="44" customFormat="false" ht="18" hidden="false" customHeight="true" outlineLevel="0" collapsed="false">
      <c r="A44" s="2" t="s">
        <v>653</v>
      </c>
      <c r="B44" s="2"/>
      <c r="C44" s="2"/>
      <c r="D44" s="2"/>
      <c r="E44" s="2"/>
    </row>
    <row r="45" customFormat="false" ht="15" hidden="false" customHeight="false" outlineLevel="0" collapsed="false">
      <c r="A45" s="43" t="s">
        <v>654</v>
      </c>
      <c r="B45" s="43"/>
      <c r="C45" s="43"/>
      <c r="D45" s="43"/>
      <c r="E45" s="43"/>
    </row>
    <row r="46" customFormat="false" ht="15" hidden="false" customHeight="false" outlineLevel="0" collapsed="false">
      <c r="A46" s="43" t="s">
        <v>655</v>
      </c>
      <c r="B46" s="43"/>
      <c r="C46" s="43"/>
      <c r="D46" s="43"/>
      <c r="E46" s="43"/>
    </row>
    <row r="47" customFormat="false" ht="15" hidden="false" customHeight="false" outlineLevel="0" collapsed="false">
      <c r="A47" s="43" t="s">
        <v>656</v>
      </c>
      <c r="B47" s="43"/>
      <c r="C47" s="43"/>
      <c r="D47" s="43"/>
      <c r="E47" s="43"/>
    </row>
    <row r="48" customFormat="false" ht="15" hidden="false" customHeight="false" outlineLevel="0" collapsed="false">
      <c r="A48" s="43" t="s">
        <v>657</v>
      </c>
      <c r="B48" s="43"/>
      <c r="C48" s="43"/>
      <c r="D48" s="43"/>
      <c r="E48" s="43"/>
    </row>
    <row r="50" customFormat="false" ht="60" hidden="false" customHeight="true" outlineLevel="0" collapsed="false">
      <c r="A50" s="26" t="s">
        <v>658</v>
      </c>
      <c r="B50" s="26"/>
      <c r="C50" s="26"/>
      <c r="D50" s="26"/>
      <c r="E50" s="26"/>
    </row>
  </sheetData>
  <mergeCells count="29">
    <mergeCell ref="A1:E1"/>
    <mergeCell ref="A3:E3"/>
    <mergeCell ref="A13:E13"/>
    <mergeCell ref="A14:E14"/>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1:E31"/>
    <mergeCell ref="A39:E39"/>
    <mergeCell ref="A40:E40"/>
    <mergeCell ref="A41:E41"/>
    <mergeCell ref="A42:E42"/>
    <mergeCell ref="A44:E44"/>
    <mergeCell ref="A45:E45"/>
    <mergeCell ref="A46:E46"/>
    <mergeCell ref="A47:E47"/>
    <mergeCell ref="A48:E48"/>
    <mergeCell ref="A50:E50"/>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8"/>
    <col collapsed="false" customWidth="true" hidden="false" outlineLevel="0" max="4" min="4" style="0" width="14"/>
    <col collapsed="false" customWidth="true" hidden="false" outlineLevel="0" max="5" min="5" style="0" width="20"/>
  </cols>
  <sheetData>
    <row r="1" customFormat="false" ht="25.5" hidden="false" customHeight="true" outlineLevel="0" collapsed="false">
      <c r="A1" s="1" t="s">
        <v>659</v>
      </c>
      <c r="B1" s="1"/>
      <c r="C1" s="1"/>
      <c r="D1" s="1"/>
      <c r="E1" s="1"/>
    </row>
    <row r="3" customFormat="false" ht="18" hidden="false" customHeight="true" outlineLevel="0" collapsed="false">
      <c r="A3" s="2" t="s">
        <v>660</v>
      </c>
      <c r="B3" s="2"/>
      <c r="C3" s="2"/>
      <c r="D3" s="2"/>
      <c r="E3" s="2"/>
    </row>
    <row r="4" customFormat="false" ht="19.5" hidden="false" customHeight="true" outlineLevel="0" collapsed="false">
      <c r="A4" s="30" t="s">
        <v>661</v>
      </c>
      <c r="B4" s="30" t="s">
        <v>662</v>
      </c>
      <c r="C4" s="30" t="s">
        <v>663</v>
      </c>
      <c r="D4" s="30" t="s">
        <v>664</v>
      </c>
      <c r="E4" s="30" t="s">
        <v>665</v>
      </c>
    </row>
    <row r="5" customFormat="false" ht="15" hidden="false" customHeight="false" outlineLevel="0" collapsed="false">
      <c r="A5" s="32" t="s">
        <v>40</v>
      </c>
      <c r="B5" s="32" t="n">
        <v>1</v>
      </c>
      <c r="C5" s="34" t="n">
        <f aca="false">Peak_RPS*B5</f>
        <v>6666.66666666667</v>
      </c>
      <c r="D5" s="32" t="s">
        <v>666</v>
      </c>
      <c r="E5" s="32" t="s">
        <v>667</v>
      </c>
    </row>
    <row r="6" customFormat="false" ht="15" hidden="false" customHeight="false" outlineLevel="0" collapsed="false">
      <c r="A6" s="32" t="s">
        <v>668</v>
      </c>
      <c r="B6" s="32" t="n">
        <v>5</v>
      </c>
      <c r="C6" s="34" t="n">
        <f aca="false">Peak_RPS*B6</f>
        <v>33333.3333333333</v>
      </c>
      <c r="D6" s="32" t="s">
        <v>669</v>
      </c>
      <c r="E6" s="32" t="s">
        <v>670</v>
      </c>
    </row>
    <row r="7" customFormat="false" ht="15" hidden="false" customHeight="false" outlineLevel="0" collapsed="false">
      <c r="A7" s="32" t="s">
        <v>671</v>
      </c>
      <c r="B7" s="32" t="n">
        <v>10</v>
      </c>
      <c r="C7" s="34" t="n">
        <f aca="false">Peak_RPS*B7</f>
        <v>66666.6666666667</v>
      </c>
      <c r="D7" s="32" t="s">
        <v>672</v>
      </c>
      <c r="E7" s="32" t="s">
        <v>673</v>
      </c>
    </row>
    <row r="8" customFormat="false" ht="15" hidden="false" customHeight="false" outlineLevel="0" collapsed="false">
      <c r="A8" s="32" t="s">
        <v>674</v>
      </c>
      <c r="B8" s="32" t="n">
        <v>15</v>
      </c>
      <c r="C8" s="34" t="n">
        <f aca="false">Peak_RPS*B8</f>
        <v>100000</v>
      </c>
      <c r="D8" s="32" t="s">
        <v>675</v>
      </c>
      <c r="E8" s="32" t="s">
        <v>673</v>
      </c>
    </row>
    <row r="9" customFormat="false" ht="15" hidden="false" customHeight="false" outlineLevel="0" collapsed="false">
      <c r="A9" s="32" t="s">
        <v>676</v>
      </c>
      <c r="B9" s="32" t="n">
        <v>50</v>
      </c>
      <c r="C9" s="34" t="n">
        <f aca="false">Peak_RPS*B9</f>
        <v>333333.333333333</v>
      </c>
      <c r="D9" s="32" t="s">
        <v>677</v>
      </c>
      <c r="E9" s="32" t="s">
        <v>678</v>
      </c>
    </row>
    <row r="10" customFormat="false" ht="15" hidden="false" customHeight="false" outlineLevel="0" collapsed="false">
      <c r="A10" s="32" t="s">
        <v>679</v>
      </c>
      <c r="B10" s="32" t="n">
        <v>100</v>
      </c>
      <c r="C10" s="37" t="n">
        <f aca="false">DDoS_Peak_RPS</f>
        <v>1000000</v>
      </c>
      <c r="D10" s="32" t="s">
        <v>680</v>
      </c>
      <c r="E10" s="32" t="s">
        <v>681</v>
      </c>
    </row>
    <row r="12" customFormat="false" ht="18" hidden="false" customHeight="true" outlineLevel="0" collapsed="false">
      <c r="A12" s="2" t="s">
        <v>682</v>
      </c>
      <c r="B12" s="2"/>
      <c r="C12" s="2"/>
      <c r="D12" s="2"/>
      <c r="E12" s="2"/>
    </row>
    <row r="13" customFormat="false" ht="19.5" hidden="false" customHeight="true" outlineLevel="0" collapsed="false">
      <c r="A13" s="18" t="s">
        <v>226</v>
      </c>
      <c r="B13" s="18" t="s">
        <v>227</v>
      </c>
      <c r="C13" s="18" t="s">
        <v>228</v>
      </c>
      <c r="D13" s="18" t="s">
        <v>229</v>
      </c>
      <c r="E13" s="18" t="s">
        <v>230</v>
      </c>
    </row>
    <row r="14" customFormat="false" ht="53.7" hidden="false" customHeight="false" outlineLevel="0" collapsed="false">
      <c r="A14" s="19" t="s">
        <v>683</v>
      </c>
      <c r="B14" s="20" t="s">
        <v>684</v>
      </c>
      <c r="C14" s="21" t="n">
        <f aca="false">ROUNDUP(Peak_RPS*Spike_Multiplier/RPS_Per_App_Instance,0)</f>
        <v>4</v>
      </c>
      <c r="D14" s="22" t="n">
        <f aca="false">C14</f>
        <v>4</v>
      </c>
      <c r="E14" s="23" t="s">
        <v>685</v>
      </c>
    </row>
    <row r="15" customFormat="false" ht="43.25" hidden="false" customHeight="false" outlineLevel="0" collapsed="false">
      <c r="A15" s="19" t="s">
        <v>686</v>
      </c>
      <c r="B15" s="20" t="s">
        <v>687</v>
      </c>
      <c r="C15" s="24" t="n">
        <f aca="false">Auto_Scale_Cooldown_sec+90+30</f>
        <v>180</v>
      </c>
      <c r="D15" s="25" t="n">
        <f aca="false">C15</f>
        <v>180</v>
      </c>
      <c r="E15" s="23"/>
    </row>
    <row r="16" customFormat="false" ht="32.8" hidden="false" customHeight="false" outlineLevel="0" collapsed="false">
      <c r="A16" s="19" t="s">
        <v>688</v>
      </c>
      <c r="B16" s="20" t="s">
        <v>689</v>
      </c>
      <c r="C16" s="49" t="n">
        <f aca="false">Peak_RPS*Spike_Multiplier*C15</f>
        <v>1200000</v>
      </c>
      <c r="D16" s="39" t="n">
        <f aca="false">C16</f>
        <v>1200000</v>
      </c>
      <c r="E16" s="23" t="s">
        <v>690</v>
      </c>
    </row>
    <row r="17" customFormat="false" ht="53.7" hidden="false" customHeight="false" outlineLevel="0" collapsed="false">
      <c r="A17" s="19" t="s">
        <v>691</v>
      </c>
      <c r="B17" s="20" t="s">
        <v>684</v>
      </c>
      <c r="C17" s="21" t="n">
        <f aca="false">ROUNDUP(Peak_RPS*Spike_Multiplier/RPS_Per_App_Instance,0)</f>
        <v>4</v>
      </c>
      <c r="D17" s="22" t="n">
        <f aca="false">C17</f>
        <v>4</v>
      </c>
      <c r="E17" s="23" t="s">
        <v>692</v>
      </c>
    </row>
    <row r="18" customFormat="false" ht="22.35" hidden="false" customHeight="false" outlineLevel="0" collapsed="false">
      <c r="A18" s="19" t="s">
        <v>693</v>
      </c>
      <c r="B18" s="20" t="s">
        <v>374</v>
      </c>
      <c r="C18" s="28" t="n">
        <f aca="false">6</f>
        <v>6</v>
      </c>
      <c r="D18" s="29" t="n">
        <f aca="false">C18</f>
        <v>6</v>
      </c>
      <c r="E18" s="23"/>
    </row>
    <row r="19" customFormat="false" ht="22.35" hidden="false" customHeight="false" outlineLevel="0" collapsed="false">
      <c r="A19" s="19" t="s">
        <v>694</v>
      </c>
      <c r="B19" s="20" t="s">
        <v>374</v>
      </c>
      <c r="C19" s="28" t="n">
        <f aca="false">60</f>
        <v>60</v>
      </c>
      <c r="D19" s="29" t="n">
        <f aca="false">C19</f>
        <v>60</v>
      </c>
      <c r="E19" s="23"/>
    </row>
    <row r="20" customFormat="false" ht="15" hidden="false" customHeight="false" outlineLevel="0" collapsed="false">
      <c r="A20" s="19" t="s">
        <v>695</v>
      </c>
      <c r="B20" s="48" t="n">
        <f aca="false">Auto_Scale_Trigger_CPU</f>
        <v>70</v>
      </c>
      <c r="C20" s="46" t="n">
        <f aca="false">Auto_Scale_Trigger_CPU</f>
        <v>70</v>
      </c>
      <c r="D20" s="25" t="n">
        <f aca="false">C20</f>
        <v>70</v>
      </c>
      <c r="E20" s="23"/>
    </row>
    <row r="22" customFormat="false" ht="18" hidden="false" customHeight="true" outlineLevel="0" collapsed="false">
      <c r="A22" s="2" t="s">
        <v>696</v>
      </c>
      <c r="B22" s="2"/>
      <c r="C22" s="2"/>
      <c r="D22" s="2"/>
      <c r="E22" s="2"/>
    </row>
    <row r="23" customFormat="false" ht="19.5" hidden="false" customHeight="true" outlineLevel="0" collapsed="false">
      <c r="A23" s="18" t="s">
        <v>226</v>
      </c>
      <c r="B23" s="18" t="s">
        <v>227</v>
      </c>
      <c r="C23" s="18" t="s">
        <v>228</v>
      </c>
      <c r="D23" s="18" t="s">
        <v>229</v>
      </c>
      <c r="E23" s="18" t="s">
        <v>230</v>
      </c>
    </row>
    <row r="24" customFormat="false" ht="53.7" hidden="false" customHeight="false" outlineLevel="0" collapsed="false">
      <c r="A24" s="19" t="s">
        <v>697</v>
      </c>
      <c r="B24" s="20" t="s">
        <v>698</v>
      </c>
      <c r="C24" s="21" t="n">
        <f aca="false">Total_RPS_Capacity*Load_Shed_Threshold_Pct/100</f>
        <v>67050</v>
      </c>
      <c r="D24" s="22" t="n">
        <f aca="false">C24</f>
        <v>67050</v>
      </c>
      <c r="E24" s="23"/>
    </row>
    <row r="26" customFormat="false" ht="19.5" hidden="false" customHeight="true" outlineLevel="0" collapsed="false">
      <c r="A26" s="30" t="s">
        <v>699</v>
      </c>
      <c r="B26" s="30" t="s">
        <v>700</v>
      </c>
      <c r="C26" s="30" t="s">
        <v>701</v>
      </c>
      <c r="D26" s="30"/>
      <c r="E26" s="30"/>
    </row>
    <row r="27" customFormat="false" ht="15" hidden="false" customHeight="false" outlineLevel="0" collapsed="false">
      <c r="A27" s="32" t="s">
        <v>702</v>
      </c>
      <c r="B27" s="32" t="s">
        <v>703</v>
      </c>
      <c r="C27" s="50" t="s">
        <v>704</v>
      </c>
      <c r="D27" s="50"/>
      <c r="E27" s="50"/>
    </row>
    <row r="28" customFormat="false" ht="15" hidden="false" customHeight="false" outlineLevel="0" collapsed="false">
      <c r="A28" s="32" t="s">
        <v>705</v>
      </c>
      <c r="B28" s="32" t="s">
        <v>706</v>
      </c>
      <c r="C28" s="50" t="s">
        <v>707</v>
      </c>
      <c r="D28" s="50"/>
      <c r="E28" s="50"/>
    </row>
    <row r="29" customFormat="false" ht="15" hidden="false" customHeight="false" outlineLevel="0" collapsed="false">
      <c r="A29" s="32" t="s">
        <v>708</v>
      </c>
      <c r="B29" s="32" t="s">
        <v>709</v>
      </c>
      <c r="C29" s="50" t="s">
        <v>710</v>
      </c>
      <c r="D29" s="50"/>
      <c r="E29" s="50"/>
    </row>
    <row r="30" customFormat="false" ht="15" hidden="false" customHeight="false" outlineLevel="0" collapsed="false">
      <c r="A30" s="32" t="s">
        <v>711</v>
      </c>
      <c r="B30" s="32" t="s">
        <v>712</v>
      </c>
      <c r="C30" s="50" t="s">
        <v>713</v>
      </c>
      <c r="D30" s="50"/>
      <c r="E30" s="50"/>
    </row>
    <row r="31" customFormat="false" ht="15" hidden="false" customHeight="false" outlineLevel="0" collapsed="false">
      <c r="A31" s="32" t="s">
        <v>714</v>
      </c>
      <c r="B31" s="32" t="s">
        <v>715</v>
      </c>
      <c r="C31" s="50" t="s">
        <v>716</v>
      </c>
      <c r="D31" s="50"/>
      <c r="E31" s="50"/>
    </row>
    <row r="33" customFormat="false" ht="18" hidden="false" customHeight="true" outlineLevel="0" collapsed="false">
      <c r="A33" s="2" t="s">
        <v>717</v>
      </c>
      <c r="B33" s="2"/>
      <c r="C33" s="2"/>
      <c r="D33" s="2"/>
      <c r="E33" s="2"/>
    </row>
    <row r="34" customFormat="false" ht="15" hidden="false" customHeight="false" outlineLevel="0" collapsed="false">
      <c r="A34" s="43" t="s">
        <v>718</v>
      </c>
      <c r="B34" s="43"/>
      <c r="C34" s="43"/>
      <c r="D34" s="43"/>
      <c r="E34" s="43"/>
    </row>
    <row r="35" customFormat="false" ht="15" hidden="false" customHeight="false" outlineLevel="0" collapsed="false">
      <c r="A35" s="43" t="s">
        <v>719</v>
      </c>
      <c r="B35" s="43"/>
      <c r="C35" s="43"/>
      <c r="D35" s="43"/>
      <c r="E35" s="43"/>
    </row>
    <row r="36" customFormat="false" ht="15" hidden="false" customHeight="false" outlineLevel="0" collapsed="false">
      <c r="A36" s="43" t="s">
        <v>720</v>
      </c>
      <c r="B36" s="43"/>
      <c r="C36" s="43"/>
      <c r="D36" s="43"/>
      <c r="E36" s="43"/>
    </row>
    <row r="37" customFormat="false" ht="15" hidden="false" customHeight="false" outlineLevel="0" collapsed="false">
      <c r="A37" s="43" t="s">
        <v>721</v>
      </c>
      <c r="B37" s="43"/>
      <c r="C37" s="43"/>
      <c r="D37" s="43"/>
      <c r="E37" s="43"/>
    </row>
    <row r="38" customFormat="false" ht="15" hidden="false" customHeight="false" outlineLevel="0" collapsed="false">
      <c r="A38" s="43" t="s">
        <v>722</v>
      </c>
      <c r="B38" s="43"/>
      <c r="C38" s="43"/>
      <c r="D38" s="43"/>
      <c r="E38" s="43"/>
    </row>
    <row r="39" customFormat="false" ht="15" hidden="false" customHeight="false" outlineLevel="0" collapsed="false">
      <c r="A39" s="43" t="s">
        <v>723</v>
      </c>
      <c r="B39" s="43"/>
      <c r="C39" s="43"/>
      <c r="D39" s="43"/>
      <c r="E39" s="43"/>
    </row>
    <row r="40" customFormat="false" ht="15" hidden="false" customHeight="false" outlineLevel="0" collapsed="false">
      <c r="A40" s="43" t="s">
        <v>724</v>
      </c>
      <c r="B40" s="43"/>
      <c r="C40" s="43"/>
      <c r="D40" s="43"/>
      <c r="E40" s="43"/>
    </row>
    <row r="42" customFormat="false" ht="18" hidden="false" customHeight="true" outlineLevel="0" collapsed="false">
      <c r="A42" s="2" t="s">
        <v>725</v>
      </c>
      <c r="B42" s="2"/>
      <c r="C42" s="2"/>
      <c r="D42" s="2"/>
      <c r="E42" s="2"/>
    </row>
    <row r="43" customFormat="false" ht="15" hidden="false" customHeight="false" outlineLevel="0" collapsed="false">
      <c r="A43" s="43" t="s">
        <v>726</v>
      </c>
      <c r="B43" s="43"/>
      <c r="C43" s="43"/>
      <c r="D43" s="43"/>
      <c r="E43" s="43"/>
    </row>
    <row r="44" customFormat="false" ht="15" hidden="false" customHeight="false" outlineLevel="0" collapsed="false">
      <c r="A44" s="43" t="s">
        <v>727</v>
      </c>
      <c r="B44" s="43"/>
      <c r="C44" s="43"/>
      <c r="D44" s="43"/>
      <c r="E44" s="43"/>
    </row>
    <row r="45" customFormat="false" ht="15" hidden="false" customHeight="false" outlineLevel="0" collapsed="false">
      <c r="A45" s="43" t="s">
        <v>728</v>
      </c>
      <c r="B45" s="43"/>
      <c r="C45" s="43"/>
      <c r="D45" s="43"/>
      <c r="E45" s="43"/>
    </row>
    <row r="46" customFormat="false" ht="15" hidden="false" customHeight="false" outlineLevel="0" collapsed="false">
      <c r="A46" s="43" t="s">
        <v>729</v>
      </c>
      <c r="B46" s="43"/>
      <c r="C46" s="43"/>
      <c r="D46" s="43"/>
      <c r="E46" s="43"/>
    </row>
    <row r="47" customFormat="false" ht="15" hidden="false" customHeight="false" outlineLevel="0" collapsed="false">
      <c r="A47" s="43" t="s">
        <v>730</v>
      </c>
      <c r="B47" s="43"/>
      <c r="C47" s="43"/>
      <c r="D47" s="43"/>
      <c r="E47" s="43"/>
    </row>
    <row r="49" customFormat="false" ht="60" hidden="false" customHeight="true" outlineLevel="0" collapsed="false">
      <c r="A49" s="26" t="s">
        <v>731</v>
      </c>
      <c r="B49" s="26"/>
      <c r="C49" s="26"/>
      <c r="D49" s="26"/>
      <c r="E49" s="26"/>
    </row>
  </sheetData>
  <mergeCells count="24">
    <mergeCell ref="A1:E1"/>
    <mergeCell ref="A3:E3"/>
    <mergeCell ref="A12:E12"/>
    <mergeCell ref="A22:E22"/>
    <mergeCell ref="C27:E27"/>
    <mergeCell ref="C28:E28"/>
    <mergeCell ref="C29:E29"/>
    <mergeCell ref="C30:E30"/>
    <mergeCell ref="C31:E31"/>
    <mergeCell ref="A33:E33"/>
    <mergeCell ref="A34:E34"/>
    <mergeCell ref="A35:E35"/>
    <mergeCell ref="A36:E36"/>
    <mergeCell ref="A37:E37"/>
    <mergeCell ref="A38:E38"/>
    <mergeCell ref="A39:E39"/>
    <mergeCell ref="A40:E40"/>
    <mergeCell ref="A42:E42"/>
    <mergeCell ref="A43:E43"/>
    <mergeCell ref="A44:E44"/>
    <mergeCell ref="A45:E45"/>
    <mergeCell ref="A46:E46"/>
    <mergeCell ref="A47:E47"/>
    <mergeCell ref="A49:E49"/>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20"/>
    <col collapsed="false" customWidth="true" hidden="false" outlineLevel="0" max="4" min="4" style="0" width="16"/>
    <col collapsed="false" customWidth="true" hidden="false" outlineLevel="0" max="5" min="5" style="0" width="40"/>
  </cols>
  <sheetData>
    <row r="1" customFormat="false" ht="25.5" hidden="false" customHeight="true" outlineLevel="0" collapsed="false">
      <c r="A1" s="1" t="s">
        <v>732</v>
      </c>
      <c r="B1" s="1"/>
      <c r="C1" s="1"/>
      <c r="D1" s="1"/>
      <c r="E1" s="1"/>
    </row>
    <row r="3" customFormat="false" ht="19.5" hidden="false" customHeight="true" outlineLevel="0" collapsed="false">
      <c r="A3" s="18" t="s">
        <v>226</v>
      </c>
      <c r="B3" s="18" t="s">
        <v>227</v>
      </c>
      <c r="C3" s="18" t="s">
        <v>228</v>
      </c>
      <c r="D3" s="18" t="s">
        <v>229</v>
      </c>
      <c r="E3" s="18" t="s">
        <v>230</v>
      </c>
    </row>
    <row r="4" customFormat="false" ht="15" hidden="false" customHeight="false" outlineLevel="0" collapsed="false">
      <c r="A4" s="19" t="s">
        <v>733</v>
      </c>
      <c r="B4" s="20" t="s">
        <v>734</v>
      </c>
      <c r="C4" s="24" t="n">
        <f aca="false">Peak_RPS*100*86400</f>
        <v>57600000000</v>
      </c>
      <c r="D4" s="25" t="n">
        <f aca="false">C4</f>
        <v>57600000000</v>
      </c>
      <c r="E4" s="23"/>
    </row>
    <row r="5" customFormat="false" ht="15" hidden="false" customHeight="false" outlineLevel="0" collapsed="false">
      <c r="A5" s="19" t="s">
        <v>735</v>
      </c>
      <c r="B5" s="20" t="s">
        <v>736</v>
      </c>
      <c r="C5" s="21" t="n">
        <f aca="false">C4*8/1024^3</f>
        <v>429.153442382813</v>
      </c>
      <c r="D5" s="22" t="n">
        <f aca="false">C5</f>
        <v>429.153442382813</v>
      </c>
      <c r="E5" s="23"/>
    </row>
    <row r="6" customFormat="false" ht="22.35" hidden="false" customHeight="false" outlineLevel="0" collapsed="false">
      <c r="A6" s="19" t="s">
        <v>737</v>
      </c>
      <c r="B6" s="20" t="s">
        <v>738</v>
      </c>
      <c r="C6" s="24" t="n">
        <f aca="false">Daily_Requests*Log_Size_Per_Request_KB/1024/1024</f>
        <v>114.44091796875</v>
      </c>
      <c r="D6" s="25" t="n">
        <f aca="false">C6</f>
        <v>114.44091796875</v>
      </c>
      <c r="E6" s="23"/>
    </row>
    <row r="7" customFormat="false" ht="15" hidden="false" customHeight="false" outlineLevel="0" collapsed="false">
      <c r="A7" s="19" t="s">
        <v>739</v>
      </c>
      <c r="B7" s="20" t="s">
        <v>740</v>
      </c>
      <c r="C7" s="21" t="n">
        <f aca="false">C6*Log_Retention_Days</f>
        <v>3433.2275390625</v>
      </c>
      <c r="D7" s="22" t="n">
        <f aca="false">C7</f>
        <v>3433.2275390625</v>
      </c>
      <c r="E7" s="23"/>
    </row>
    <row r="8" customFormat="false" ht="32.8" hidden="false" customHeight="false" outlineLevel="0" collapsed="false">
      <c r="A8" s="19" t="s">
        <v>741</v>
      </c>
      <c r="B8" s="20" t="s">
        <v>742</v>
      </c>
      <c r="C8" s="24" t="n">
        <f aca="false">Daily_Requests*Trace_Sample_Rate_Pct/100*5/1024/1024</f>
        <v>2.86102294921875</v>
      </c>
      <c r="D8" s="25" t="n">
        <f aca="false">C8</f>
        <v>2.86102294921875</v>
      </c>
      <c r="E8" s="23"/>
    </row>
    <row r="9" customFormat="false" ht="15" hidden="false" customHeight="false" outlineLevel="0" collapsed="false">
      <c r="A9" s="19" t="s">
        <v>743</v>
      </c>
      <c r="B9" s="20" t="s">
        <v>744</v>
      </c>
      <c r="C9" s="21" t="n">
        <f aca="false">C8*7</f>
        <v>20.0271606445313</v>
      </c>
      <c r="D9" s="22" t="n">
        <f aca="false">C9</f>
        <v>20.0271606445313</v>
      </c>
      <c r="E9" s="23"/>
    </row>
    <row r="10" customFormat="false" ht="22.35" hidden="false" customHeight="false" outlineLevel="0" collapsed="false">
      <c r="A10" s="19" t="s">
        <v>745</v>
      </c>
      <c r="B10" s="20" t="s">
        <v>746</v>
      </c>
      <c r="C10" s="49" t="str">
        <f aca="false">"Check label cardinality manually per service"</f>
        <v>Check label cardinality manually per service</v>
      </c>
      <c r="D10" s="39" t="str">
        <f aca="false">C10</f>
        <v>Check label cardinality manually per service</v>
      </c>
      <c r="E10" s="23" t="s">
        <v>747</v>
      </c>
    </row>
    <row r="12" customFormat="false" ht="18" hidden="false" customHeight="true" outlineLevel="0" collapsed="false">
      <c r="A12" s="2" t="s">
        <v>748</v>
      </c>
      <c r="B12" s="2"/>
      <c r="C12" s="2"/>
      <c r="D12" s="2"/>
      <c r="E12" s="2"/>
    </row>
    <row r="13" customFormat="false" ht="19.5" hidden="false" customHeight="true" outlineLevel="0" collapsed="false">
      <c r="A13" s="30" t="s">
        <v>749</v>
      </c>
      <c r="B13" s="30" t="s">
        <v>750</v>
      </c>
      <c r="C13" s="30"/>
      <c r="D13" s="30"/>
      <c r="E13" s="30"/>
    </row>
    <row r="14" customFormat="false" ht="15" hidden="false" customHeight="false" outlineLevel="0" collapsed="false">
      <c r="A14" s="32" t="s">
        <v>751</v>
      </c>
      <c r="B14" s="50" t="s">
        <v>752</v>
      </c>
      <c r="C14" s="50"/>
      <c r="D14" s="50"/>
      <c r="E14" s="50"/>
    </row>
    <row r="15" customFormat="false" ht="15" hidden="false" customHeight="false" outlineLevel="0" collapsed="false">
      <c r="A15" s="32" t="s">
        <v>753</v>
      </c>
      <c r="B15" s="50" t="s">
        <v>754</v>
      </c>
      <c r="C15" s="50"/>
      <c r="D15" s="50"/>
      <c r="E15" s="50"/>
    </row>
    <row r="16" customFormat="false" ht="15" hidden="false" customHeight="false" outlineLevel="0" collapsed="false">
      <c r="A16" s="32" t="s">
        <v>755</v>
      </c>
      <c r="B16" s="50" t="s">
        <v>756</v>
      </c>
      <c r="C16" s="50"/>
      <c r="D16" s="50"/>
      <c r="E16" s="50"/>
    </row>
    <row r="17" customFormat="false" ht="15" hidden="false" customHeight="false" outlineLevel="0" collapsed="false">
      <c r="A17" s="32" t="s">
        <v>757</v>
      </c>
      <c r="B17" s="50" t="s">
        <v>758</v>
      </c>
      <c r="C17" s="50"/>
      <c r="D17" s="50"/>
      <c r="E17" s="50"/>
    </row>
    <row r="18" customFormat="false" ht="15" hidden="false" customHeight="false" outlineLevel="0" collapsed="false">
      <c r="A18" s="32" t="s">
        <v>759</v>
      </c>
      <c r="B18" s="50" t="s">
        <v>760</v>
      </c>
      <c r="C18" s="50"/>
      <c r="D18" s="50"/>
      <c r="E18" s="50"/>
    </row>
    <row r="20" customFormat="false" ht="18" hidden="false" customHeight="true" outlineLevel="0" collapsed="false">
      <c r="A20" s="2" t="s">
        <v>761</v>
      </c>
      <c r="B20" s="2"/>
      <c r="C20" s="2"/>
      <c r="D20" s="2"/>
      <c r="E20" s="2"/>
    </row>
    <row r="21" customFormat="false" ht="19.5" hidden="false" customHeight="true" outlineLevel="0" collapsed="false">
      <c r="A21" s="30" t="s">
        <v>762</v>
      </c>
      <c r="B21" s="30" t="s">
        <v>763</v>
      </c>
      <c r="C21" s="30" t="s">
        <v>764</v>
      </c>
      <c r="D21" s="30" t="s">
        <v>765</v>
      </c>
      <c r="E21" s="30"/>
    </row>
    <row r="22" customFormat="false" ht="15" hidden="false" customHeight="false" outlineLevel="0" collapsed="false">
      <c r="A22" s="32" t="s">
        <v>766</v>
      </c>
      <c r="B22" s="32" t="s">
        <v>767</v>
      </c>
      <c r="C22" s="32" t="s">
        <v>768</v>
      </c>
      <c r="D22" s="32" t="s">
        <v>769</v>
      </c>
    </row>
    <row r="23" customFormat="false" ht="15" hidden="false" customHeight="false" outlineLevel="0" collapsed="false">
      <c r="A23" s="32" t="s">
        <v>770</v>
      </c>
      <c r="B23" s="32" t="s">
        <v>771</v>
      </c>
      <c r="C23" s="32" t="s">
        <v>772</v>
      </c>
      <c r="D23" s="32" t="s">
        <v>773</v>
      </c>
    </row>
    <row r="24" customFormat="false" ht="15" hidden="false" customHeight="false" outlineLevel="0" collapsed="false">
      <c r="A24" s="32" t="s">
        <v>774</v>
      </c>
      <c r="B24" s="32" t="s">
        <v>775</v>
      </c>
      <c r="C24" s="32" t="s">
        <v>776</v>
      </c>
      <c r="D24" s="32" t="s">
        <v>777</v>
      </c>
    </row>
    <row r="25" customFormat="false" ht="15" hidden="false" customHeight="false" outlineLevel="0" collapsed="false">
      <c r="A25" s="32" t="s">
        <v>778</v>
      </c>
      <c r="B25" s="32" t="s">
        <v>779</v>
      </c>
      <c r="C25" s="32" t="s">
        <v>703</v>
      </c>
      <c r="D25" s="32" t="s">
        <v>780</v>
      </c>
    </row>
    <row r="27" customFormat="false" ht="60" hidden="false" customHeight="true" outlineLevel="0" collapsed="false">
      <c r="A27" s="26" t="s">
        <v>781</v>
      </c>
      <c r="B27" s="26"/>
      <c r="C27" s="26"/>
      <c r="D27" s="26"/>
      <c r="E27" s="26"/>
    </row>
  </sheetData>
  <mergeCells count="9">
    <mergeCell ref="A1:E1"/>
    <mergeCell ref="A12:E12"/>
    <mergeCell ref="B14:E14"/>
    <mergeCell ref="B15:E15"/>
    <mergeCell ref="B16:E16"/>
    <mergeCell ref="B17:E17"/>
    <mergeCell ref="B18:E18"/>
    <mergeCell ref="A20:E20"/>
    <mergeCell ref="A27:E27"/>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20"/>
    <col collapsed="false" customWidth="true" hidden="false" outlineLevel="0" max="5" min="5" style="0" width="24"/>
  </cols>
  <sheetData>
    <row r="1" customFormat="false" ht="25.5" hidden="false" customHeight="true" outlineLevel="0" collapsed="false">
      <c r="A1" s="1" t="s">
        <v>782</v>
      </c>
      <c r="B1" s="1"/>
      <c r="C1" s="1"/>
      <c r="D1" s="1"/>
      <c r="E1" s="1"/>
    </row>
    <row r="3" customFormat="false" ht="19.5" hidden="false" customHeight="true" outlineLevel="0" collapsed="false">
      <c r="A3" s="30" t="s">
        <v>783</v>
      </c>
      <c r="B3" s="30" t="s">
        <v>784</v>
      </c>
      <c r="C3" s="30" t="s">
        <v>785</v>
      </c>
      <c r="D3" s="30" t="s">
        <v>786</v>
      </c>
      <c r="E3" s="30" t="s">
        <v>787</v>
      </c>
    </row>
    <row r="4" customFormat="false" ht="15" hidden="false" customHeight="false" outlineLevel="0" collapsed="false">
      <c r="A4" s="32" t="s">
        <v>788</v>
      </c>
      <c r="B4" s="51" t="s">
        <v>789</v>
      </c>
      <c r="C4" s="51" t="s">
        <v>790</v>
      </c>
      <c r="D4" s="51" t="s">
        <v>791</v>
      </c>
      <c r="E4" s="51" t="s">
        <v>792</v>
      </c>
    </row>
    <row r="5" customFormat="false" ht="15" hidden="false" customHeight="false" outlineLevel="0" collapsed="false">
      <c r="A5" s="32" t="s">
        <v>793</v>
      </c>
      <c r="B5" s="51" t="s">
        <v>794</v>
      </c>
      <c r="C5" s="51" t="s">
        <v>795</v>
      </c>
      <c r="D5" s="51" t="s">
        <v>796</v>
      </c>
      <c r="E5" s="51" t="s">
        <v>797</v>
      </c>
    </row>
    <row r="6" customFormat="false" ht="15" hidden="false" customHeight="false" outlineLevel="0" collapsed="false">
      <c r="A6" s="32" t="s">
        <v>798</v>
      </c>
      <c r="B6" s="51" t="s">
        <v>799</v>
      </c>
      <c r="C6" s="51" t="s">
        <v>800</v>
      </c>
      <c r="D6" s="51" t="s">
        <v>801</v>
      </c>
      <c r="E6" s="51" t="s">
        <v>802</v>
      </c>
    </row>
    <row r="7" customFormat="false" ht="15" hidden="false" customHeight="false" outlineLevel="0" collapsed="false">
      <c r="A7" s="32" t="s">
        <v>803</v>
      </c>
      <c r="B7" s="51" t="s">
        <v>804</v>
      </c>
      <c r="C7" s="51" t="s">
        <v>805</v>
      </c>
      <c r="D7" s="51" t="s">
        <v>806</v>
      </c>
      <c r="E7" s="51" t="s">
        <v>807</v>
      </c>
    </row>
    <row r="8" customFormat="false" ht="15" hidden="false" customHeight="false" outlineLevel="0" collapsed="false">
      <c r="A8" s="32" t="s">
        <v>808</v>
      </c>
      <c r="B8" s="51" t="s">
        <v>809</v>
      </c>
      <c r="C8" s="51" t="s">
        <v>810</v>
      </c>
      <c r="D8" s="51" t="s">
        <v>811</v>
      </c>
      <c r="E8" s="51" t="s">
        <v>812</v>
      </c>
    </row>
    <row r="9" customFormat="false" ht="15" hidden="false" customHeight="false" outlineLevel="0" collapsed="false">
      <c r="A9" s="32" t="s">
        <v>389</v>
      </c>
      <c r="B9" s="51" t="s">
        <v>389</v>
      </c>
      <c r="C9" s="51" t="s">
        <v>389</v>
      </c>
      <c r="D9" s="51" t="s">
        <v>813</v>
      </c>
      <c r="E9" s="51" t="s">
        <v>814</v>
      </c>
    </row>
    <row r="10" customFormat="false" ht="15" hidden="false" customHeight="false" outlineLevel="0" collapsed="false">
      <c r="A10" s="32" t="s">
        <v>815</v>
      </c>
      <c r="B10" s="51" t="s">
        <v>816</v>
      </c>
      <c r="C10" s="51" t="s">
        <v>817</v>
      </c>
      <c r="D10" s="51" t="s">
        <v>818</v>
      </c>
      <c r="E10" s="51" t="s">
        <v>819</v>
      </c>
    </row>
    <row r="11" customFormat="false" ht="15" hidden="false" customHeight="false" outlineLevel="0" collapsed="false">
      <c r="A11" s="32" t="s">
        <v>820</v>
      </c>
      <c r="B11" s="51" t="s">
        <v>821</v>
      </c>
      <c r="C11" s="51" t="s">
        <v>822</v>
      </c>
      <c r="D11" s="51" t="s">
        <v>823</v>
      </c>
      <c r="E11" s="51" t="s">
        <v>824</v>
      </c>
    </row>
    <row r="12" customFormat="false" ht="15" hidden="false" customHeight="false" outlineLevel="0" collapsed="false">
      <c r="A12" s="32" t="s">
        <v>825</v>
      </c>
      <c r="B12" s="51" t="s">
        <v>826</v>
      </c>
      <c r="C12" s="51" t="s">
        <v>827</v>
      </c>
      <c r="D12" s="51" t="s">
        <v>828</v>
      </c>
      <c r="E12" s="51" t="s">
        <v>829</v>
      </c>
    </row>
    <row r="13" customFormat="false" ht="15" hidden="false" customHeight="false" outlineLevel="0" collapsed="false">
      <c r="A13" s="32" t="s">
        <v>830</v>
      </c>
      <c r="B13" s="51" t="s">
        <v>831</v>
      </c>
      <c r="C13" s="51" t="s">
        <v>832</v>
      </c>
      <c r="D13" s="51" t="s">
        <v>833</v>
      </c>
      <c r="E13" s="51" t="s">
        <v>834</v>
      </c>
    </row>
    <row r="14" customFormat="false" ht="15" hidden="false" customHeight="false" outlineLevel="0" collapsed="false">
      <c r="A14" s="32" t="s">
        <v>835</v>
      </c>
      <c r="B14" s="51" t="s">
        <v>836</v>
      </c>
      <c r="C14" s="51" t="s">
        <v>837</v>
      </c>
      <c r="D14" s="51" t="s">
        <v>838</v>
      </c>
      <c r="E14" s="51" t="s">
        <v>839</v>
      </c>
    </row>
    <row r="15" customFormat="false" ht="15" hidden="false" customHeight="false" outlineLevel="0" collapsed="false">
      <c r="A15" s="32" t="s">
        <v>840</v>
      </c>
      <c r="B15" s="51" t="s">
        <v>841</v>
      </c>
      <c r="C15" s="51" t="s">
        <v>842</v>
      </c>
      <c r="D15" s="51" t="s">
        <v>843</v>
      </c>
      <c r="E15" s="51" t="s">
        <v>844</v>
      </c>
    </row>
    <row r="16" customFormat="false" ht="15" hidden="false" customHeight="false" outlineLevel="0" collapsed="false">
      <c r="A16" s="32" t="s">
        <v>845</v>
      </c>
      <c r="B16" s="51" t="s">
        <v>846</v>
      </c>
      <c r="C16" s="51" t="s">
        <v>847</v>
      </c>
      <c r="D16" s="51" t="s">
        <v>848</v>
      </c>
      <c r="E16" s="51" t="s">
        <v>849</v>
      </c>
    </row>
    <row r="17" customFormat="false" ht="15" hidden="false" customHeight="false" outlineLevel="0" collapsed="false">
      <c r="A17" s="32" t="s">
        <v>850</v>
      </c>
      <c r="B17" s="51" t="s">
        <v>851</v>
      </c>
      <c r="C17" s="51" t="s">
        <v>852</v>
      </c>
      <c r="D17" s="51" t="s">
        <v>853</v>
      </c>
      <c r="E17" s="51" t="s">
        <v>854</v>
      </c>
    </row>
    <row r="18" customFormat="false" ht="15" hidden="false" customHeight="false" outlineLevel="0" collapsed="false">
      <c r="A18" s="32" t="s">
        <v>855</v>
      </c>
      <c r="B18" s="51" t="s">
        <v>856</v>
      </c>
      <c r="C18" s="51" t="s">
        <v>857</v>
      </c>
      <c r="D18" s="51" t="s">
        <v>858</v>
      </c>
      <c r="E18" s="51" t="s">
        <v>859</v>
      </c>
    </row>
    <row r="19" customFormat="false" ht="15" hidden="false" customHeight="false" outlineLevel="0" collapsed="false">
      <c r="A19" s="32" t="s">
        <v>860</v>
      </c>
      <c r="B19" s="51" t="s">
        <v>861</v>
      </c>
      <c r="C19" s="51" t="s">
        <v>862</v>
      </c>
      <c r="D19" s="51" t="s">
        <v>863</v>
      </c>
      <c r="E19" s="51" t="s">
        <v>864</v>
      </c>
    </row>
    <row r="20" customFormat="false" ht="15" hidden="false" customHeight="false" outlineLevel="0" collapsed="false">
      <c r="A20" s="32" t="s">
        <v>865</v>
      </c>
      <c r="B20" s="51" t="s">
        <v>866</v>
      </c>
      <c r="C20" s="51" t="s">
        <v>867</v>
      </c>
      <c r="D20" s="51" t="s">
        <v>868</v>
      </c>
      <c r="E20" s="51" t="s">
        <v>869</v>
      </c>
    </row>
    <row r="21" customFormat="false" ht="15" hidden="false" customHeight="false" outlineLevel="0" collapsed="false">
      <c r="A21" s="32" t="s">
        <v>870</v>
      </c>
      <c r="B21" s="51" t="s">
        <v>871</v>
      </c>
      <c r="C21" s="51" t="s">
        <v>872</v>
      </c>
      <c r="D21" s="51" t="s">
        <v>873</v>
      </c>
      <c r="E21" s="51" t="s">
        <v>874</v>
      </c>
    </row>
    <row r="22" customFormat="false" ht="15" hidden="false" customHeight="false" outlineLevel="0" collapsed="false">
      <c r="A22" s="32" t="s">
        <v>875</v>
      </c>
      <c r="B22" s="51" t="s">
        <v>876</v>
      </c>
      <c r="C22" s="51" t="s">
        <v>877</v>
      </c>
      <c r="D22" s="51" t="s">
        <v>878</v>
      </c>
      <c r="E22" s="51" t="s">
        <v>879</v>
      </c>
    </row>
    <row r="23" customFormat="false" ht="15" hidden="false" customHeight="false" outlineLevel="0" collapsed="false">
      <c r="A23" s="32" t="s">
        <v>880</v>
      </c>
      <c r="B23" s="51" t="s">
        <v>881</v>
      </c>
      <c r="C23" s="51" t="s">
        <v>882</v>
      </c>
      <c r="D23" s="51" t="s">
        <v>883</v>
      </c>
      <c r="E23" s="51" t="s">
        <v>884</v>
      </c>
    </row>
    <row r="24" customFormat="false" ht="15" hidden="false" customHeight="false" outlineLevel="0" collapsed="false">
      <c r="A24" s="32" t="s">
        <v>885</v>
      </c>
      <c r="B24" s="51" t="s">
        <v>886</v>
      </c>
      <c r="C24" s="51" t="s">
        <v>887</v>
      </c>
      <c r="D24" s="51" t="s">
        <v>888</v>
      </c>
      <c r="E24" s="51" t="s">
        <v>889</v>
      </c>
    </row>
    <row r="25" customFormat="false" ht="15" hidden="false" customHeight="false" outlineLevel="0" collapsed="false">
      <c r="A25" s="32" t="s">
        <v>890</v>
      </c>
      <c r="B25" s="51" t="s">
        <v>891</v>
      </c>
      <c r="C25" s="51" t="s">
        <v>892</v>
      </c>
      <c r="D25" s="51" t="s">
        <v>893</v>
      </c>
      <c r="E25" s="51" t="s">
        <v>894</v>
      </c>
    </row>
    <row r="27" customFormat="false" ht="22.35" hidden="false" customHeight="true" outlineLevel="0" collapsed="false">
      <c r="A27" s="52" t="s">
        <v>895</v>
      </c>
      <c r="B27" s="52"/>
      <c r="C27" s="52"/>
      <c r="D27" s="52"/>
      <c r="E27" s="52"/>
    </row>
  </sheetData>
  <mergeCells count="2">
    <mergeCell ref="A1:E1"/>
    <mergeCell ref="A27:E27"/>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4" min="3" style="0" width="8"/>
    <col collapsed="false" customWidth="true" hidden="false" outlineLevel="0" max="5" min="5" style="0" width="10"/>
    <col collapsed="false" customWidth="true" hidden="false" outlineLevel="0" max="7" min="6" style="0" width="18"/>
    <col collapsed="false" customWidth="true" hidden="false" outlineLevel="0" max="8" min="8" style="0" width="22"/>
  </cols>
  <sheetData>
    <row r="1" customFormat="false" ht="25.5" hidden="false" customHeight="true" outlineLevel="0" collapsed="false">
      <c r="A1" s="1" t="s">
        <v>896</v>
      </c>
      <c r="B1" s="1"/>
      <c r="C1" s="1"/>
      <c r="D1" s="1"/>
      <c r="E1" s="1"/>
      <c r="F1" s="1"/>
      <c r="G1" s="1"/>
      <c r="H1" s="1"/>
    </row>
    <row r="3" customFormat="false" ht="19.5" hidden="false" customHeight="true" outlineLevel="0" collapsed="false">
      <c r="A3" s="30" t="s">
        <v>897</v>
      </c>
      <c r="B3" s="30" t="s">
        <v>898</v>
      </c>
      <c r="C3" s="30" t="s">
        <v>899</v>
      </c>
      <c r="D3" s="30" t="s">
        <v>385</v>
      </c>
      <c r="E3" s="30" t="s">
        <v>900</v>
      </c>
      <c r="F3" s="30" t="s">
        <v>901</v>
      </c>
      <c r="G3" s="30" t="s">
        <v>902</v>
      </c>
      <c r="H3" s="30" t="s">
        <v>903</v>
      </c>
    </row>
    <row r="4" customFormat="false" ht="15" hidden="false" customHeight="false" outlineLevel="0" collapsed="false">
      <c r="A4" s="32" t="s">
        <v>904</v>
      </c>
      <c r="B4" s="32" t="s">
        <v>207</v>
      </c>
      <c r="C4" s="32" t="n">
        <v>8</v>
      </c>
      <c r="D4" s="32" t="n">
        <v>32</v>
      </c>
      <c r="E4" s="53" t="n">
        <v>0.384</v>
      </c>
      <c r="F4" s="51" t="s">
        <v>905</v>
      </c>
      <c r="G4" s="51" t="s">
        <v>906</v>
      </c>
      <c r="H4" s="32" t="s">
        <v>907</v>
      </c>
    </row>
    <row r="5" customFormat="false" ht="15" hidden="false" customHeight="false" outlineLevel="0" collapsed="false">
      <c r="A5" s="32" t="s">
        <v>908</v>
      </c>
      <c r="B5" s="32" t="s">
        <v>909</v>
      </c>
      <c r="C5" s="32" t="n">
        <v>16</v>
      </c>
      <c r="D5" s="32" t="n">
        <v>64</v>
      </c>
      <c r="E5" s="53" t="n">
        <v>0.768</v>
      </c>
      <c r="F5" s="51" t="s">
        <v>910</v>
      </c>
      <c r="G5" s="51" t="s">
        <v>911</v>
      </c>
      <c r="H5" s="32" t="s">
        <v>912</v>
      </c>
    </row>
    <row r="6" customFormat="false" ht="15" hidden="false" customHeight="false" outlineLevel="0" collapsed="false">
      <c r="A6" s="32" t="s">
        <v>389</v>
      </c>
      <c r="B6" s="32" t="s">
        <v>209</v>
      </c>
      <c r="C6" s="32" t="n">
        <v>4</v>
      </c>
      <c r="D6" s="32" t="n">
        <v>8</v>
      </c>
      <c r="E6" s="53" t="n">
        <v>0.17</v>
      </c>
      <c r="F6" s="51" t="s">
        <v>913</v>
      </c>
      <c r="G6" s="51" t="s">
        <v>914</v>
      </c>
      <c r="H6" s="32" t="s">
        <v>915</v>
      </c>
    </row>
    <row r="7" customFormat="false" ht="15" hidden="false" customHeight="false" outlineLevel="0" collapsed="false">
      <c r="A7" s="32" t="s">
        <v>916</v>
      </c>
      <c r="B7" s="32" t="s">
        <v>209</v>
      </c>
      <c r="C7" s="32" t="n">
        <v>4</v>
      </c>
      <c r="D7" s="32" t="n">
        <v>8</v>
      </c>
      <c r="E7" s="53" t="n">
        <v>0.17</v>
      </c>
      <c r="F7" s="51" t="s">
        <v>913</v>
      </c>
      <c r="G7" s="51" t="s">
        <v>914</v>
      </c>
      <c r="H7" s="32" t="s">
        <v>917</v>
      </c>
    </row>
    <row r="8" customFormat="false" ht="15" hidden="false" customHeight="false" outlineLevel="0" collapsed="false">
      <c r="A8" s="32" t="s">
        <v>918</v>
      </c>
      <c r="B8" s="32" t="s">
        <v>919</v>
      </c>
      <c r="C8" s="32" t="n">
        <v>4</v>
      </c>
      <c r="D8" s="32" t="n">
        <v>32</v>
      </c>
      <c r="E8" s="53" t="n">
        <v>0.252</v>
      </c>
      <c r="F8" s="51" t="s">
        <v>920</v>
      </c>
      <c r="G8" s="51" t="s">
        <v>921</v>
      </c>
      <c r="H8" s="32" t="s">
        <v>922</v>
      </c>
    </row>
    <row r="9" customFormat="false" ht="15" hidden="false" customHeight="false" outlineLevel="0" collapsed="false">
      <c r="A9" s="32" t="s">
        <v>923</v>
      </c>
      <c r="B9" s="32" t="s">
        <v>211</v>
      </c>
      <c r="C9" s="32" t="n">
        <v>8</v>
      </c>
      <c r="D9" s="32" t="n">
        <v>64</v>
      </c>
      <c r="E9" s="53" t="n">
        <v>0.504</v>
      </c>
      <c r="F9" s="51" t="s">
        <v>924</v>
      </c>
      <c r="G9" s="51" t="s">
        <v>925</v>
      </c>
      <c r="H9" s="32" t="s">
        <v>926</v>
      </c>
    </row>
    <row r="10" customFormat="false" ht="15" hidden="false" customHeight="false" outlineLevel="0" collapsed="false">
      <c r="A10" s="32" t="s">
        <v>927</v>
      </c>
      <c r="B10" s="32" t="s">
        <v>919</v>
      </c>
      <c r="C10" s="32" t="n">
        <v>4</v>
      </c>
      <c r="D10" s="32" t="n">
        <v>32</v>
      </c>
      <c r="E10" s="53" t="n">
        <v>0.252</v>
      </c>
      <c r="F10" s="51" t="s">
        <v>920</v>
      </c>
      <c r="G10" s="51" t="s">
        <v>921</v>
      </c>
      <c r="H10" s="32" t="s">
        <v>928</v>
      </c>
    </row>
    <row r="11" customFormat="false" ht="15" hidden="false" customHeight="false" outlineLevel="0" collapsed="false">
      <c r="A11" s="32" t="s">
        <v>327</v>
      </c>
      <c r="B11" s="32" t="s">
        <v>213</v>
      </c>
      <c r="C11" s="32" t="n">
        <v>4</v>
      </c>
      <c r="D11" s="32" t="n">
        <v>26</v>
      </c>
      <c r="E11" s="53" t="n">
        <v>0.226</v>
      </c>
      <c r="F11" s="51" t="s">
        <v>929</v>
      </c>
      <c r="G11" s="51" t="s">
        <v>930</v>
      </c>
      <c r="H11" s="32" t="s">
        <v>931</v>
      </c>
    </row>
    <row r="12" customFormat="false" ht="15" hidden="false" customHeight="false" outlineLevel="0" collapsed="false">
      <c r="A12" s="32" t="s">
        <v>851</v>
      </c>
      <c r="B12" s="32" t="s">
        <v>932</v>
      </c>
      <c r="C12" s="32" t="n">
        <v>8</v>
      </c>
      <c r="D12" s="32" t="n">
        <v>64</v>
      </c>
      <c r="E12" s="53" t="n">
        <v>0.476</v>
      </c>
      <c r="F12" s="51" t="s">
        <v>924</v>
      </c>
      <c r="G12" s="51" t="s">
        <v>925</v>
      </c>
      <c r="H12" s="32" t="s">
        <v>850</v>
      </c>
    </row>
    <row r="13" customFormat="false" ht="15" hidden="false" customHeight="false" outlineLevel="0" collapsed="false">
      <c r="A13" s="32" t="s">
        <v>933</v>
      </c>
      <c r="B13" s="32" t="s">
        <v>934</v>
      </c>
      <c r="C13" s="32" t="n">
        <v>2</v>
      </c>
      <c r="D13" s="32" t="n">
        <v>1</v>
      </c>
      <c r="E13" s="53" t="n">
        <v>0.0104</v>
      </c>
      <c r="F13" s="51" t="s">
        <v>935</v>
      </c>
      <c r="G13" s="51" t="s">
        <v>936</v>
      </c>
      <c r="H13" s="32" t="s">
        <v>937</v>
      </c>
    </row>
    <row r="15" customFormat="false" ht="28.35" hidden="false" customHeight="true" outlineLevel="0" collapsed="false">
      <c r="A15" s="3" t="s">
        <v>938</v>
      </c>
      <c r="B15" s="3"/>
      <c r="C15" s="3"/>
      <c r="D15" s="3"/>
      <c r="E15" s="3"/>
      <c r="F15" s="3"/>
      <c r="G15" s="3"/>
      <c r="H15" s="3"/>
    </row>
  </sheetData>
  <mergeCells count="2">
    <mergeCell ref="A1:H1"/>
    <mergeCell ref="A15:H15"/>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0"/>
    <col collapsed="false" customWidth="true" hidden="false" outlineLevel="0" max="6" min="5" style="0" width="16"/>
  </cols>
  <sheetData>
    <row r="1" customFormat="false" ht="25.5" hidden="false" customHeight="true" outlineLevel="0" collapsed="false">
      <c r="A1" s="1" t="s">
        <v>939</v>
      </c>
      <c r="B1" s="1"/>
      <c r="C1" s="1"/>
      <c r="D1" s="1"/>
      <c r="E1" s="1"/>
      <c r="F1" s="1"/>
    </row>
    <row r="3" customFormat="false" ht="19.5" hidden="false" customHeight="true" outlineLevel="0" collapsed="false">
      <c r="A3" s="30" t="s">
        <v>940</v>
      </c>
      <c r="B3" s="30" t="s">
        <v>941</v>
      </c>
      <c r="C3" s="30" t="s">
        <v>900</v>
      </c>
      <c r="D3" s="30" t="s">
        <v>942</v>
      </c>
      <c r="E3" s="30" t="s">
        <v>943</v>
      </c>
      <c r="F3" s="30" t="s">
        <v>944</v>
      </c>
    </row>
    <row r="4" customFormat="false" ht="15" hidden="false" customHeight="false" outlineLevel="0" collapsed="false">
      <c r="A4" s="32" t="s">
        <v>945</v>
      </c>
      <c r="B4" s="32" t="n">
        <f aca="false">Kafka_Brokers</f>
        <v>3</v>
      </c>
      <c r="C4" s="53" t="n">
        <f aca="false">Cost_Broker_hr</f>
        <v>0.384</v>
      </c>
      <c r="D4" s="54" t="n">
        <f aca="false">Cost_Hours_Month</f>
        <v>730</v>
      </c>
      <c r="E4" s="55" t="n">
        <f aca="false">B4*C4*D4</f>
        <v>840.96</v>
      </c>
      <c r="F4" s="56" t="n">
        <f aca="false">E4*12</f>
        <v>10091.52</v>
      </c>
    </row>
    <row r="5" customFormat="false" ht="15" hidden="false" customHeight="false" outlineLevel="0" collapsed="false">
      <c r="A5" s="32" t="s">
        <v>946</v>
      </c>
      <c r="B5" s="32" t="s">
        <v>947</v>
      </c>
      <c r="C5" s="53" t="s">
        <v>948</v>
      </c>
      <c r="D5" s="54" t="n">
        <f aca="false">Cost_Hours_Month</f>
        <v>730</v>
      </c>
      <c r="E5" s="55" t="n">
        <f aca="false">B5*C5*D5</f>
        <v>210.24</v>
      </c>
      <c r="F5" s="56" t="n">
        <f aca="false">E5*12</f>
        <v>2522.88</v>
      </c>
    </row>
    <row r="6" customFormat="false" ht="15" hidden="false" customHeight="false" outlineLevel="0" collapsed="false">
      <c r="A6" s="32" t="s">
        <v>949</v>
      </c>
      <c r="B6" s="32" t="n">
        <f aca="false">Total_App_Instances</f>
        <v>29</v>
      </c>
      <c r="C6" s="53" t="n">
        <f aca="false">Cost_App_hr</f>
        <v>0.17</v>
      </c>
      <c r="D6" s="54" t="n">
        <f aca="false">Cost_Hours_Month</f>
        <v>730</v>
      </c>
      <c r="E6" s="55" t="n">
        <f aca="false">B6*C6*D6</f>
        <v>3598.9</v>
      </c>
      <c r="F6" s="56" t="n">
        <f aca="false">E6*12</f>
        <v>43186.8</v>
      </c>
    </row>
    <row r="7" customFormat="false" ht="15" hidden="false" customHeight="false" outlineLevel="0" collapsed="false">
      <c r="A7" s="32" t="s">
        <v>389</v>
      </c>
      <c r="B7" s="32" t="n">
        <f aca="false">Gateway_Instances_Sized</f>
        <v>9</v>
      </c>
      <c r="C7" s="53" t="n">
        <f aca="false">Cost_Gateway_hr</f>
        <v>0.17</v>
      </c>
      <c r="D7" s="54" t="n">
        <f aca="false">Cost_Hours_Month</f>
        <v>730</v>
      </c>
      <c r="E7" s="55" t="n">
        <f aca="false">B7*C7*D7</f>
        <v>1116.9</v>
      </c>
      <c r="F7" s="56" t="n">
        <f aca="false">E7*12</f>
        <v>13402.8</v>
      </c>
    </row>
    <row r="8" customFormat="false" ht="15" hidden="false" customHeight="false" outlineLevel="0" collapsed="false">
      <c r="A8" s="32" t="s">
        <v>950</v>
      </c>
      <c r="B8" s="32" t="n">
        <f aca="false">LB_Instances</f>
        <v>2</v>
      </c>
      <c r="C8" s="53" t="n">
        <f aca="false">Cost_NLB_hr</f>
        <v>0.0225</v>
      </c>
      <c r="D8" s="54" t="n">
        <f aca="false">Cost_Hours_Month</f>
        <v>730</v>
      </c>
      <c r="E8" s="55" t="n">
        <f aca="false">B8*C8*D8</f>
        <v>32.85</v>
      </c>
      <c r="F8" s="56" t="n">
        <f aca="false">E8*12</f>
        <v>394.2</v>
      </c>
    </row>
    <row r="9" customFormat="false" ht="15" hidden="false" customHeight="false" outlineLevel="0" collapsed="false">
      <c r="A9" s="32" t="s">
        <v>951</v>
      </c>
      <c r="B9" s="32" t="s">
        <v>952</v>
      </c>
      <c r="C9" s="53" t="n">
        <f aca="false">Cost_DB_hr</f>
        <v>0.504</v>
      </c>
      <c r="D9" s="54" t="n">
        <f aca="false">Cost_Hours_Month</f>
        <v>730</v>
      </c>
      <c r="E9" s="55" t="n">
        <f aca="false">B9*C9*D9</f>
        <v>367.92</v>
      </c>
      <c r="F9" s="56" t="n">
        <f aca="false">E9*12</f>
        <v>4415.04</v>
      </c>
    </row>
    <row r="10" customFormat="false" ht="15" hidden="false" customHeight="false" outlineLevel="0" collapsed="false">
      <c r="A10" s="32" t="s">
        <v>953</v>
      </c>
      <c r="B10" s="32" t="n">
        <f aca="false">DB_Read_Replicas</f>
        <v>4</v>
      </c>
      <c r="C10" s="53" t="n">
        <f aca="false">Cost_DB_hr</f>
        <v>0.504</v>
      </c>
      <c r="D10" s="54" t="n">
        <f aca="false">Cost_Hours_Month</f>
        <v>730</v>
      </c>
      <c r="E10" s="55" t="n">
        <f aca="false">B10*C10*D10</f>
        <v>1471.68</v>
      </c>
      <c r="F10" s="56" t="n">
        <f aca="false">E10*12</f>
        <v>17660.16</v>
      </c>
    </row>
    <row r="11" customFormat="false" ht="15" hidden="false" customHeight="false" outlineLevel="0" collapsed="false">
      <c r="A11" s="32" t="s">
        <v>954</v>
      </c>
      <c r="B11" s="54" t="n">
        <f aca="false">REDIS_SHARDS</f>
        <v>3</v>
      </c>
      <c r="C11" s="53" t="n">
        <f aca="false">Cost_Redis_hr</f>
        <v>0.226</v>
      </c>
      <c r="D11" s="54" t="n">
        <f aca="false">Cost_Hours_Month</f>
        <v>730</v>
      </c>
      <c r="E11" s="55" t="n">
        <f aca="false">B11*C11*D11</f>
        <v>494.94</v>
      </c>
      <c r="F11" s="56" t="n">
        <f aca="false">E11*12</f>
        <v>5939.28</v>
      </c>
    </row>
    <row r="12" customFormat="false" ht="15" hidden="false" customHeight="false" outlineLevel="0" collapsed="false">
      <c r="A12" s="32" t="s">
        <v>955</v>
      </c>
      <c r="B12" s="32" t="s">
        <v>956</v>
      </c>
      <c r="C12" s="53" t="s">
        <v>957</v>
      </c>
      <c r="D12" s="54" t="n">
        <f aca="false">Cost_Hours_Month</f>
        <v>730</v>
      </c>
      <c r="E12" s="55" t="n">
        <f aca="false">B12*C12*D12</f>
        <v>65.7</v>
      </c>
      <c r="F12" s="56" t="n">
        <f aca="false">E12*12</f>
        <v>788.4</v>
      </c>
    </row>
    <row r="13" customFormat="false" ht="15" hidden="false" customHeight="false" outlineLevel="0" collapsed="false">
      <c r="A13" s="32" t="s">
        <v>958</v>
      </c>
      <c r="B13" s="32" t="s">
        <v>703</v>
      </c>
      <c r="C13" s="32" t="s">
        <v>703</v>
      </c>
      <c r="D13" s="32" t="s">
        <v>703</v>
      </c>
      <c r="E13" s="55" t="n">
        <f aca="false">DB_Storage_GB/1024*Cost_S3_Per_TB</f>
        <v>666.260719299316</v>
      </c>
      <c r="F13" s="56" t="n">
        <f aca="false">E13*12</f>
        <v>7995.1286315918</v>
      </c>
    </row>
    <row r="14" customFormat="false" ht="15" hidden="false" customHeight="false" outlineLevel="0" collapsed="false">
      <c r="A14" s="32" t="s">
        <v>959</v>
      </c>
      <c r="B14" s="32" t="s">
        <v>703</v>
      </c>
      <c r="C14" s="32" t="s">
        <v>703</v>
      </c>
      <c r="D14" s="32" t="s">
        <v>703</v>
      </c>
      <c r="E14" s="55" t="n">
        <f aca="false">Monthly_Egress_TB*1024*Cost_CDN_Per_GB</f>
        <v>7295.60852050781</v>
      </c>
      <c r="F14" s="56" t="n">
        <f aca="false">E14*12</f>
        <v>87547.3022460938</v>
      </c>
    </row>
    <row r="15" customFormat="false" ht="15" hidden="false" customHeight="false" outlineLevel="0" collapsed="false">
      <c r="A15" s="32" t="s">
        <v>960</v>
      </c>
      <c r="B15" s="32" t="s">
        <v>703</v>
      </c>
      <c r="C15" s="32" t="s">
        <v>703</v>
      </c>
      <c r="D15" s="32" t="s">
        <v>703</v>
      </c>
      <c r="E15" s="55" t="n">
        <f aca="false">500</f>
        <v>500</v>
      </c>
      <c r="F15" s="56" t="n">
        <f aca="false">E15*12</f>
        <v>6000</v>
      </c>
    </row>
    <row r="16" customFormat="false" ht="15" hidden="false" customHeight="false" outlineLevel="0" collapsed="false">
      <c r="A16" s="32" t="s">
        <v>871</v>
      </c>
      <c r="B16" s="32" t="s">
        <v>703</v>
      </c>
      <c r="C16" s="32" t="s">
        <v>703</v>
      </c>
      <c r="D16" s="32" t="s">
        <v>703</v>
      </c>
      <c r="E16" s="55" t="n">
        <f aca="false">20*0.4</f>
        <v>8</v>
      </c>
      <c r="F16" s="56" t="n">
        <f aca="false">E16*12</f>
        <v>96</v>
      </c>
    </row>
    <row r="17" customFormat="false" ht="15" hidden="false" customHeight="false" outlineLevel="0" collapsed="false">
      <c r="A17" s="32" t="s">
        <v>961</v>
      </c>
      <c r="B17" s="32" t="s">
        <v>703</v>
      </c>
      <c r="C17" s="32" t="s">
        <v>703</v>
      </c>
      <c r="D17" s="32" t="s">
        <v>703</v>
      </c>
      <c r="E17" s="55" t="n">
        <f aca="false">5*0.5+50</f>
        <v>52.5</v>
      </c>
      <c r="F17" s="56" t="n">
        <f aca="false">E17*12</f>
        <v>630</v>
      </c>
    </row>
    <row r="18" customFormat="false" ht="15" hidden="false" customHeight="false" outlineLevel="0" collapsed="false">
      <c r="A18" s="32" t="s">
        <v>962</v>
      </c>
      <c r="B18" s="32" t="s">
        <v>703</v>
      </c>
      <c r="C18" s="32" t="s">
        <v>703</v>
      </c>
      <c r="D18" s="32" t="s">
        <v>703</v>
      </c>
      <c r="E18" s="55" t="n">
        <f aca="false">200</f>
        <v>200</v>
      </c>
      <c r="F18" s="56" t="n">
        <f aca="false">E18*12</f>
        <v>2400</v>
      </c>
    </row>
    <row r="20" customFormat="false" ht="15" hidden="false" customHeight="false" outlineLevel="0" collapsed="false">
      <c r="A20" s="7" t="s">
        <v>963</v>
      </c>
      <c r="B20" s="35"/>
      <c r="C20" s="35"/>
      <c r="D20" s="35"/>
      <c r="E20" s="57" t="n">
        <f aca="false">SUM(E4:E18)</f>
        <v>16922.4592398071</v>
      </c>
      <c r="F20" s="57" t="n">
        <f aca="false">SUM(F4:F18)</f>
        <v>203069.510877686</v>
      </c>
    </row>
    <row r="21" customFormat="false" ht="19.5" hidden="false" customHeight="true" outlineLevel="0" collapsed="false">
      <c r="A21" s="18" t="s">
        <v>226</v>
      </c>
      <c r="B21" s="18" t="s">
        <v>227</v>
      </c>
      <c r="C21" s="18" t="s">
        <v>228</v>
      </c>
      <c r="D21" s="18" t="s">
        <v>229</v>
      </c>
      <c r="E21" s="18" t="s">
        <v>230</v>
      </c>
    </row>
    <row r="22" customFormat="false" ht="43.25" hidden="false" customHeight="false" outlineLevel="0" collapsed="false">
      <c r="A22" s="19" t="s">
        <v>964</v>
      </c>
      <c r="B22" s="20" t="s">
        <v>965</v>
      </c>
      <c r="C22" s="58" t="n">
        <f aca="false">Total_Monthly_Cost/(DAU/1000)</f>
        <v>8.46122961990356</v>
      </c>
      <c r="D22" s="22" t="n">
        <f aca="false">C22</f>
        <v>8.46122961990356</v>
      </c>
      <c r="E22" s="23" t="s">
        <v>966</v>
      </c>
    </row>
    <row r="24" customFormat="false" ht="18" hidden="false" customHeight="true" outlineLevel="0" collapsed="false">
      <c r="A24" s="2" t="s">
        <v>967</v>
      </c>
      <c r="B24" s="2"/>
      <c r="C24" s="2"/>
      <c r="D24" s="2"/>
      <c r="E24" s="2"/>
    </row>
    <row r="25" customFormat="false" ht="15" hidden="false" customHeight="false" outlineLevel="0" collapsed="false">
      <c r="A25" s="43" t="s">
        <v>968</v>
      </c>
      <c r="B25" s="43"/>
      <c r="C25" s="43"/>
      <c r="D25" s="43"/>
      <c r="E25" s="43"/>
      <c r="F25" s="43"/>
    </row>
    <row r="26" customFormat="false" ht="15" hidden="false" customHeight="false" outlineLevel="0" collapsed="false">
      <c r="A26" s="43" t="s">
        <v>969</v>
      </c>
      <c r="B26" s="43"/>
      <c r="C26" s="43"/>
      <c r="D26" s="43"/>
      <c r="E26" s="43"/>
      <c r="F26" s="43"/>
    </row>
    <row r="27" customFormat="false" ht="15" hidden="false" customHeight="false" outlineLevel="0" collapsed="false">
      <c r="A27" s="43" t="s">
        <v>970</v>
      </c>
      <c r="B27" s="43"/>
      <c r="C27" s="43"/>
      <c r="D27" s="43"/>
      <c r="E27" s="43"/>
      <c r="F27" s="43"/>
    </row>
    <row r="28" customFormat="false" ht="15" hidden="false" customHeight="false" outlineLevel="0" collapsed="false">
      <c r="A28" s="43" t="s">
        <v>971</v>
      </c>
      <c r="B28" s="43"/>
      <c r="C28" s="43"/>
      <c r="D28" s="43"/>
      <c r="E28" s="43"/>
      <c r="F28" s="43"/>
    </row>
    <row r="29" customFormat="false" ht="15" hidden="false" customHeight="false" outlineLevel="0" collapsed="false">
      <c r="A29" s="43" t="s">
        <v>972</v>
      </c>
      <c r="B29" s="43"/>
      <c r="C29" s="43"/>
      <c r="D29" s="43"/>
      <c r="E29" s="43"/>
      <c r="F29" s="43"/>
    </row>
    <row r="31" customFormat="false" ht="60" hidden="false" customHeight="true" outlineLevel="0" collapsed="false">
      <c r="A31" s="26" t="s">
        <v>973</v>
      </c>
      <c r="B31" s="26"/>
      <c r="C31" s="26"/>
      <c r="D31" s="26"/>
      <c r="E31" s="26"/>
      <c r="F31" s="26"/>
    </row>
  </sheetData>
  <mergeCells count="8">
    <mergeCell ref="A1:F1"/>
    <mergeCell ref="A24:E24"/>
    <mergeCell ref="A25:F25"/>
    <mergeCell ref="A26:F26"/>
    <mergeCell ref="A27:F27"/>
    <mergeCell ref="A28:F28"/>
    <mergeCell ref="A29:F29"/>
    <mergeCell ref="A31:F31"/>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6"/>
    <col collapsed="false" customWidth="true" hidden="false" outlineLevel="0" max="4" min="4" style="0" width="12"/>
  </cols>
  <sheetData>
    <row r="1" customFormat="false" ht="25.5" hidden="false" customHeight="true" outlineLevel="0" collapsed="false">
      <c r="A1" s="1" t="s">
        <v>974</v>
      </c>
      <c r="B1" s="1"/>
      <c r="C1" s="1"/>
      <c r="D1" s="1"/>
    </row>
    <row r="3" customFormat="false" ht="19.5" hidden="false" customHeight="true" outlineLevel="0" collapsed="false">
      <c r="A3" s="30" t="s">
        <v>749</v>
      </c>
      <c r="B3" s="30" t="s">
        <v>783</v>
      </c>
      <c r="C3" s="30" t="s">
        <v>975</v>
      </c>
      <c r="D3" s="30" t="s">
        <v>976</v>
      </c>
    </row>
    <row r="4" customFormat="false" ht="15" hidden="false" customHeight="false" outlineLevel="0" collapsed="false">
      <c r="A4" s="32" t="s">
        <v>977</v>
      </c>
      <c r="B4" s="32" t="s">
        <v>43</v>
      </c>
      <c r="C4" s="59" t="n">
        <f aca="false">MAU</f>
        <v>10000000</v>
      </c>
      <c r="D4" s="32" t="s">
        <v>978</v>
      </c>
    </row>
    <row r="5" customFormat="false" ht="15" hidden="false" customHeight="false" outlineLevel="0" collapsed="false">
      <c r="A5" s="32" t="s">
        <v>977</v>
      </c>
      <c r="B5" s="32" t="s">
        <v>979</v>
      </c>
      <c r="C5" s="59" t="n">
        <f aca="false">DAU</f>
        <v>2000000</v>
      </c>
      <c r="D5" s="32" t="s">
        <v>978</v>
      </c>
    </row>
    <row r="6" customFormat="false" ht="15" hidden="false" customHeight="false" outlineLevel="0" collapsed="false">
      <c r="A6" s="32" t="s">
        <v>977</v>
      </c>
      <c r="B6" s="32" t="s">
        <v>980</v>
      </c>
      <c r="C6" s="59" t="n">
        <f aca="false">PCU</f>
        <v>400000</v>
      </c>
      <c r="D6" s="32" t="s">
        <v>978</v>
      </c>
    </row>
    <row r="7" customFormat="false" ht="15" hidden="false" customHeight="false" outlineLevel="0" collapsed="false">
      <c r="A7" s="32" t="s">
        <v>981</v>
      </c>
      <c r="B7" s="32" t="s">
        <v>982</v>
      </c>
      <c r="C7" s="59" t="n">
        <f aca="false">Peak_RPS</f>
        <v>6666.66666666667</v>
      </c>
      <c r="D7" s="32" t="s">
        <v>983</v>
      </c>
    </row>
    <row r="8" customFormat="false" ht="15" hidden="false" customHeight="false" outlineLevel="0" collapsed="false">
      <c r="A8" s="32" t="s">
        <v>984</v>
      </c>
      <c r="B8" s="32" t="s">
        <v>985</v>
      </c>
      <c r="C8" s="59" t="n">
        <f aca="false">CDN_PoPs_Global</f>
        <v>200</v>
      </c>
      <c r="D8" s="32" t="s">
        <v>986</v>
      </c>
    </row>
    <row r="9" customFormat="false" ht="15" hidden="false" customHeight="false" outlineLevel="0" collapsed="false">
      <c r="A9" s="32" t="s">
        <v>984</v>
      </c>
      <c r="B9" s="32" t="s">
        <v>987</v>
      </c>
      <c r="C9" s="59" t="n">
        <f aca="false">03_Frontend_CDN!C6</f>
        <v>0</v>
      </c>
      <c r="D9" s="32" t="s">
        <v>988</v>
      </c>
    </row>
    <row r="10" customFormat="false" ht="15" hidden="false" customHeight="false" outlineLevel="0" collapsed="false">
      <c r="A10" s="32" t="s">
        <v>989</v>
      </c>
      <c r="B10" s="32" t="s">
        <v>990</v>
      </c>
      <c r="C10" s="59" t="n">
        <f aca="false">WAF_Rules</f>
        <v>20</v>
      </c>
      <c r="D10" s="32" t="s">
        <v>991</v>
      </c>
    </row>
    <row r="11" customFormat="false" ht="15" hidden="false" customHeight="false" outlineLevel="0" collapsed="false">
      <c r="A11" s="32" t="s">
        <v>989</v>
      </c>
      <c r="B11" s="32" t="s">
        <v>992</v>
      </c>
      <c r="C11" s="59" t="n">
        <f aca="false">LB_Instances</f>
        <v>2</v>
      </c>
      <c r="D11" s="32" t="s">
        <v>993</v>
      </c>
    </row>
    <row r="12" customFormat="false" ht="15" hidden="false" customHeight="false" outlineLevel="0" collapsed="false">
      <c r="A12" s="32" t="s">
        <v>994</v>
      </c>
      <c r="B12" s="32" t="s">
        <v>995</v>
      </c>
      <c r="C12" s="59" t="n">
        <f aca="false">Gateway_Instances_Sized</f>
        <v>9</v>
      </c>
      <c r="D12" s="32" t="s">
        <v>996</v>
      </c>
    </row>
    <row r="13" customFormat="false" ht="15" hidden="false" customHeight="false" outlineLevel="0" collapsed="false">
      <c r="A13" s="32" t="s">
        <v>994</v>
      </c>
      <c r="B13" s="32" t="s">
        <v>997</v>
      </c>
      <c r="C13" s="59" t="n">
        <f aca="false">Gateway_Latency_ms</f>
        <v>3.5</v>
      </c>
      <c r="D13" s="32" t="s">
        <v>998</v>
      </c>
    </row>
    <row r="14" customFormat="false" ht="15" hidden="false" customHeight="false" outlineLevel="0" collapsed="false">
      <c r="A14" s="32" t="s">
        <v>994</v>
      </c>
      <c r="B14" s="32" t="s">
        <v>999</v>
      </c>
      <c r="C14" s="59" t="n">
        <f aca="false">Rate_Limit_User_RPM</f>
        <v>100</v>
      </c>
      <c r="D14" s="32" t="s">
        <v>1000</v>
      </c>
    </row>
    <row r="15" customFormat="false" ht="15" hidden="false" customHeight="false" outlineLevel="0" collapsed="false">
      <c r="A15" s="32" t="s">
        <v>344</v>
      </c>
      <c r="B15" s="32" t="s">
        <v>1001</v>
      </c>
      <c r="C15" s="59" t="n">
        <f aca="false">Total_App_Instances</f>
        <v>29</v>
      </c>
      <c r="D15" s="32" t="s">
        <v>996</v>
      </c>
    </row>
    <row r="16" customFormat="false" ht="15" hidden="false" customHeight="false" outlineLevel="0" collapsed="false">
      <c r="A16" s="32" t="s">
        <v>344</v>
      </c>
      <c r="B16" s="32" t="s">
        <v>1002</v>
      </c>
      <c r="C16" s="59" t="n">
        <f aca="false">Total_vCPU</f>
        <v>110</v>
      </c>
      <c r="D16" s="32" t="s">
        <v>1003</v>
      </c>
    </row>
    <row r="17" customFormat="false" ht="15" hidden="false" customHeight="false" outlineLevel="0" collapsed="false">
      <c r="A17" s="32" t="s">
        <v>344</v>
      </c>
      <c r="B17" s="32" t="s">
        <v>1004</v>
      </c>
      <c r="C17" s="59" t="n">
        <f aca="false">Total_RAM_GB</f>
        <v>244</v>
      </c>
      <c r="D17" s="32" t="s">
        <v>1005</v>
      </c>
    </row>
    <row r="18" customFormat="false" ht="15" hidden="false" customHeight="false" outlineLevel="0" collapsed="false">
      <c r="A18" s="32" t="s">
        <v>1006</v>
      </c>
      <c r="B18" s="32" t="s">
        <v>1007</v>
      </c>
      <c r="C18" s="59" t="n">
        <f aca="false">P95_Latency_ms</f>
        <v>92.16</v>
      </c>
      <c r="D18" s="32" t="s">
        <v>998</v>
      </c>
    </row>
    <row r="19" customFormat="false" ht="15" hidden="false" customHeight="false" outlineLevel="0" collapsed="false">
      <c r="A19" s="32" t="s">
        <v>1008</v>
      </c>
      <c r="B19" s="32" t="s">
        <v>1009</v>
      </c>
      <c r="C19" s="59" t="n">
        <f aca="false">Kafka_Brokers</f>
        <v>3</v>
      </c>
      <c r="D19" s="32" t="s">
        <v>993</v>
      </c>
    </row>
    <row r="20" customFormat="false" ht="15" hidden="false" customHeight="false" outlineLevel="0" collapsed="false">
      <c r="A20" s="32" t="s">
        <v>1008</v>
      </c>
      <c r="B20" s="32" t="s">
        <v>1010</v>
      </c>
      <c r="C20" s="59" t="n">
        <f aca="false">Kafka_Partitions</f>
        <v>6</v>
      </c>
      <c r="D20" s="32" t="s">
        <v>1011</v>
      </c>
    </row>
    <row r="21" customFormat="false" ht="15" hidden="false" customHeight="false" outlineLevel="0" collapsed="false">
      <c r="A21" s="32" t="s">
        <v>1008</v>
      </c>
      <c r="B21" s="32" t="s">
        <v>1012</v>
      </c>
      <c r="C21" s="59" t="n">
        <f aca="false">Kafka_Internal_MBps</f>
        <v>19.53125</v>
      </c>
      <c r="D21" s="32" t="s">
        <v>1013</v>
      </c>
    </row>
    <row r="22" customFormat="false" ht="15" hidden="false" customHeight="false" outlineLevel="0" collapsed="false">
      <c r="A22" s="32" t="s">
        <v>1014</v>
      </c>
      <c r="B22" s="32" t="s">
        <v>1015</v>
      </c>
      <c r="C22" s="59" t="n">
        <f aca="false">Actual_DB_QPS</f>
        <v>4800</v>
      </c>
      <c r="D22" s="32" t="s">
        <v>1016</v>
      </c>
    </row>
    <row r="23" customFormat="false" ht="15" hidden="false" customHeight="false" outlineLevel="0" collapsed="false">
      <c r="A23" s="32" t="s">
        <v>1014</v>
      </c>
      <c r="B23" s="32" t="s">
        <v>1017</v>
      </c>
      <c r="C23" s="59" t="n">
        <f aca="false">DB_Recommended_IOPS</f>
        <v>11520</v>
      </c>
      <c r="D23" s="32" t="s">
        <v>1018</v>
      </c>
    </row>
    <row r="24" customFormat="false" ht="15" hidden="false" customHeight="false" outlineLevel="0" collapsed="false">
      <c r="A24" s="32" t="s">
        <v>1014</v>
      </c>
      <c r="B24" s="32" t="s">
        <v>1019</v>
      </c>
      <c r="C24" s="59" t="n">
        <f aca="false">DB_Read_Replicas</f>
        <v>4</v>
      </c>
      <c r="D24" s="32" t="s">
        <v>993</v>
      </c>
    </row>
    <row r="25" customFormat="false" ht="15" hidden="false" customHeight="false" outlineLevel="0" collapsed="false">
      <c r="A25" s="32" t="s">
        <v>840</v>
      </c>
      <c r="B25" s="32" t="s">
        <v>1020</v>
      </c>
      <c r="C25" s="59" t="n">
        <f aca="false">REDIS_SHARDS</f>
        <v>3</v>
      </c>
      <c r="D25" s="32" t="s">
        <v>1021</v>
      </c>
    </row>
    <row r="26" customFormat="false" ht="15" hidden="false" customHeight="false" outlineLevel="0" collapsed="false">
      <c r="A26" s="32" t="s">
        <v>840</v>
      </c>
      <c r="B26" s="32" t="s">
        <v>1022</v>
      </c>
      <c r="C26" s="59" t="n">
        <f aca="false">Redis_Cluster_GB</f>
        <v>9</v>
      </c>
      <c r="D26" s="32" t="s">
        <v>1005</v>
      </c>
    </row>
    <row r="27" customFormat="false" ht="15" hidden="false" customHeight="false" outlineLevel="0" collapsed="false">
      <c r="A27" s="32" t="s">
        <v>1023</v>
      </c>
      <c r="B27" s="32" t="s">
        <v>1024</v>
      </c>
      <c r="C27" s="59" t="n">
        <f aca="false">Max_Retries</f>
        <v>3</v>
      </c>
      <c r="D27" s="32" t="s">
        <v>1025</v>
      </c>
    </row>
    <row r="28" customFormat="false" ht="15" hidden="false" customHeight="false" outlineLevel="0" collapsed="false">
      <c r="A28" s="32" t="s">
        <v>1023</v>
      </c>
      <c r="B28" s="32" t="s">
        <v>1026</v>
      </c>
      <c r="C28" s="59" t="n">
        <f aca="false">DLQ_Msgs_Per_Day</f>
        <v>1782060</v>
      </c>
      <c r="D28" s="32" t="s">
        <v>1027</v>
      </c>
    </row>
    <row r="29" customFormat="false" ht="15" hidden="false" customHeight="false" outlineLevel="0" collapsed="false">
      <c r="A29" s="32" t="s">
        <v>1028</v>
      </c>
      <c r="B29" s="32" t="s">
        <v>1029</v>
      </c>
      <c r="C29" s="59" t="n">
        <f aca="false">Load_Shed_Threshold_Pct</f>
        <v>90</v>
      </c>
      <c r="D29" s="32" t="s">
        <v>1030</v>
      </c>
    </row>
    <row r="30" customFormat="false" ht="15" hidden="false" customHeight="false" outlineLevel="0" collapsed="false">
      <c r="A30" s="32" t="s">
        <v>1031</v>
      </c>
      <c r="B30" s="32" t="s">
        <v>1032</v>
      </c>
      <c r="C30" s="59" t="n">
        <f aca="false">Log_Retention_Days</f>
        <v>30</v>
      </c>
      <c r="D30" s="32" t="s">
        <v>1033</v>
      </c>
    </row>
    <row r="31" customFormat="false" ht="15" hidden="false" customHeight="false" outlineLevel="0" collapsed="false">
      <c r="A31" s="32" t="s">
        <v>1034</v>
      </c>
      <c r="B31" s="32" t="s">
        <v>1035</v>
      </c>
      <c r="C31" s="59" t="n">
        <f aca="false">Total_Monthly_Cost</f>
        <v>16922.4592398071</v>
      </c>
      <c r="D31" s="32" t="s">
        <v>1036</v>
      </c>
    </row>
    <row r="32" customFormat="false" ht="15" hidden="false" customHeight="false" outlineLevel="0" collapsed="false">
      <c r="A32" s="32" t="s">
        <v>1034</v>
      </c>
      <c r="B32" s="32" t="s">
        <v>1037</v>
      </c>
      <c r="C32" s="59" t="n">
        <f aca="false">Total_Annual_Cost</f>
        <v>203069.510877686</v>
      </c>
      <c r="D32" s="32" t="s">
        <v>1036</v>
      </c>
    </row>
    <row r="34" customFormat="false" ht="18" hidden="false" customHeight="true" outlineLevel="0" collapsed="false">
      <c r="A34" s="2" t="s">
        <v>1038</v>
      </c>
      <c r="B34" s="2"/>
      <c r="C34" s="2"/>
      <c r="D34" s="2"/>
    </row>
    <row r="35" customFormat="false" ht="90" hidden="false" customHeight="true" outlineLevel="0" collapsed="false">
      <c r="A35" s="3" t="s">
        <v>1039</v>
      </c>
      <c r="B35" s="3"/>
      <c r="C35" s="3"/>
      <c r="D35" s="3"/>
    </row>
  </sheetData>
  <mergeCells count="3">
    <mergeCell ref="A1:D1"/>
    <mergeCell ref="A34:D34"/>
    <mergeCell ref="A35:D35"/>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30"/>
    <col collapsed="false" customWidth="true" hidden="false" outlineLevel="0" max="4" min="4" style="0" width="26"/>
    <col collapsed="false" customWidth="true" hidden="false" outlineLevel="0" max="5" min="5" style="0" width="30"/>
  </cols>
  <sheetData>
    <row r="1" customFormat="false" ht="25.5" hidden="false" customHeight="true" outlineLevel="0" collapsed="false">
      <c r="A1" s="1" t="s">
        <v>1040</v>
      </c>
      <c r="B1" s="1"/>
      <c r="C1" s="1"/>
      <c r="D1" s="1"/>
      <c r="E1" s="1"/>
    </row>
    <row r="3" customFormat="false" ht="19.5" hidden="false" customHeight="true" outlineLevel="0" collapsed="false">
      <c r="A3" s="30" t="s">
        <v>1041</v>
      </c>
      <c r="B3" s="30" t="s">
        <v>1042</v>
      </c>
      <c r="C3" s="30" t="s">
        <v>1043</v>
      </c>
      <c r="D3" s="30" t="s">
        <v>1044</v>
      </c>
      <c r="E3" s="30" t="s">
        <v>1045</v>
      </c>
    </row>
    <row r="4" customFormat="false" ht="60" hidden="false" customHeight="true" outlineLevel="0" collapsed="false">
      <c r="A4" s="60" t="s">
        <v>1046</v>
      </c>
      <c r="B4" s="36" t="s">
        <v>1047</v>
      </c>
      <c r="C4" s="36" t="s">
        <v>1048</v>
      </c>
      <c r="D4" s="36" t="s">
        <v>1049</v>
      </c>
      <c r="E4" s="36" t="s">
        <v>1050</v>
      </c>
    </row>
    <row r="5" customFormat="false" ht="60" hidden="false" customHeight="true" outlineLevel="0" collapsed="false">
      <c r="A5" s="60" t="s">
        <v>1051</v>
      </c>
      <c r="B5" s="36" t="s">
        <v>1052</v>
      </c>
      <c r="C5" s="36" t="s">
        <v>1053</v>
      </c>
      <c r="D5" s="36" t="s">
        <v>1054</v>
      </c>
      <c r="E5" s="36" t="s">
        <v>1055</v>
      </c>
    </row>
    <row r="6" customFormat="false" ht="60" hidden="false" customHeight="true" outlineLevel="0" collapsed="false">
      <c r="A6" s="60" t="s">
        <v>1056</v>
      </c>
      <c r="B6" s="36" t="s">
        <v>1057</v>
      </c>
      <c r="C6" s="36" t="s">
        <v>1058</v>
      </c>
      <c r="D6" s="36" t="s">
        <v>1059</v>
      </c>
      <c r="E6" s="36" t="s">
        <v>1060</v>
      </c>
    </row>
    <row r="7" customFormat="false" ht="60" hidden="false" customHeight="true" outlineLevel="0" collapsed="false">
      <c r="A7" s="60" t="s">
        <v>1061</v>
      </c>
      <c r="B7" s="36" t="s">
        <v>1062</v>
      </c>
      <c r="C7" s="36" t="s">
        <v>1063</v>
      </c>
      <c r="D7" s="36" t="s">
        <v>1064</v>
      </c>
      <c r="E7" s="36" t="s">
        <v>1065</v>
      </c>
    </row>
    <row r="8" customFormat="false" ht="60" hidden="false" customHeight="true" outlineLevel="0" collapsed="false">
      <c r="A8" s="60" t="s">
        <v>1066</v>
      </c>
      <c r="B8" s="36" t="s">
        <v>1067</v>
      </c>
      <c r="C8" s="36" t="s">
        <v>1068</v>
      </c>
      <c r="D8" s="36" t="s">
        <v>1069</v>
      </c>
      <c r="E8" s="36" t="s">
        <v>1070</v>
      </c>
    </row>
    <row r="9" customFormat="false" ht="60" hidden="false" customHeight="true" outlineLevel="0" collapsed="false">
      <c r="A9" s="60" t="s">
        <v>1071</v>
      </c>
      <c r="B9" s="36" t="s">
        <v>1072</v>
      </c>
      <c r="C9" s="36" t="s">
        <v>1073</v>
      </c>
      <c r="D9" s="36" t="s">
        <v>1074</v>
      </c>
      <c r="E9" s="36" t="s">
        <v>1075</v>
      </c>
    </row>
    <row r="10" customFormat="false" ht="60" hidden="false" customHeight="true" outlineLevel="0" collapsed="false">
      <c r="A10" s="60" t="s">
        <v>1076</v>
      </c>
      <c r="B10" s="36" t="s">
        <v>1077</v>
      </c>
      <c r="C10" s="36" t="s">
        <v>1078</v>
      </c>
      <c r="D10" s="36" t="s">
        <v>1079</v>
      </c>
      <c r="E10" s="36" t="s">
        <v>1080</v>
      </c>
    </row>
    <row r="11" customFormat="false" ht="60" hidden="false" customHeight="true" outlineLevel="0" collapsed="false">
      <c r="A11" s="60" t="s">
        <v>1081</v>
      </c>
      <c r="B11" s="36" t="s">
        <v>1082</v>
      </c>
      <c r="C11" s="36" t="s">
        <v>1083</v>
      </c>
      <c r="D11" s="36" t="s">
        <v>1084</v>
      </c>
      <c r="E11" s="36" t="s">
        <v>1085</v>
      </c>
    </row>
    <row r="12" customFormat="false" ht="60" hidden="false" customHeight="true" outlineLevel="0" collapsed="false">
      <c r="A12" s="60" t="s">
        <v>1086</v>
      </c>
      <c r="B12" s="36" t="s">
        <v>1087</v>
      </c>
      <c r="C12" s="36" t="s">
        <v>1088</v>
      </c>
      <c r="D12" s="36" t="s">
        <v>1089</v>
      </c>
      <c r="E12" s="36" t="s">
        <v>1090</v>
      </c>
    </row>
    <row r="13" customFormat="false" ht="60" hidden="false" customHeight="true" outlineLevel="0" collapsed="false">
      <c r="A13" s="60" t="s">
        <v>1091</v>
      </c>
      <c r="B13" s="36" t="s">
        <v>1092</v>
      </c>
      <c r="C13" s="36" t="s">
        <v>1093</v>
      </c>
      <c r="D13" s="36" t="s">
        <v>1094</v>
      </c>
      <c r="E13" s="36" t="s">
        <v>1095</v>
      </c>
    </row>
  </sheetData>
  <mergeCells count="1">
    <mergeCell ref="A1:E1"/>
  </mergeCells>
  <printOptions headings="false" gridLines="false" gridLinesSet="true" horizontalCentered="tru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&amp;C&amp;"Calibri,Bold"&amp;12System Design Master Calculator</oddHeader>
    <oddFooter>&amp;C&amp;P of &amp;N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0"/>
    <col collapsed="false" customWidth="true" hidden="false" outlineLevel="0" max="4" min="4" style="0" width="16"/>
  </cols>
  <sheetData>
    <row r="1" customFormat="false" ht="19.5" hidden="false" customHeight="true" outlineLevel="0" collapsed="false">
      <c r="A1" s="30" t="s">
        <v>661</v>
      </c>
      <c r="B1" s="30" t="s">
        <v>45</v>
      </c>
      <c r="C1" s="30" t="s">
        <v>47</v>
      </c>
      <c r="D1" s="30" t="s">
        <v>186</v>
      </c>
    </row>
    <row r="2" customFormat="false" ht="15" hidden="false" customHeight="false" outlineLevel="0" collapsed="false">
      <c r="A2" s="0" t="s">
        <v>40</v>
      </c>
      <c r="B2" s="0" t="n">
        <v>20</v>
      </c>
      <c r="C2" s="0" t="n">
        <v>20</v>
      </c>
      <c r="D2" s="0" t="n">
        <v>1</v>
      </c>
    </row>
    <row r="3" customFormat="false" ht="15" hidden="false" customHeight="false" outlineLevel="0" collapsed="false">
      <c r="A3" s="0" t="s">
        <v>668</v>
      </c>
      <c r="B3" s="0" t="n">
        <v>30</v>
      </c>
      <c r="C3" s="0" t="n">
        <v>30</v>
      </c>
      <c r="D3" s="0" t="n">
        <v>5</v>
      </c>
    </row>
    <row r="4" customFormat="false" ht="15" hidden="false" customHeight="false" outlineLevel="0" collapsed="false">
      <c r="A4" s="0" t="s">
        <v>671</v>
      </c>
      <c r="B4" s="0" t="n">
        <v>50</v>
      </c>
      <c r="C4" s="0" t="n">
        <v>50</v>
      </c>
      <c r="D4" s="0" t="n">
        <v>10</v>
      </c>
    </row>
    <row r="5" customFormat="false" ht="15" hidden="false" customHeight="false" outlineLevel="0" collapsed="false">
      <c r="A5" s="0" t="s">
        <v>674</v>
      </c>
      <c r="B5" s="0" t="n">
        <v>60</v>
      </c>
      <c r="C5" s="0" t="n">
        <v>60</v>
      </c>
      <c r="D5" s="0" t="n">
        <v>15</v>
      </c>
    </row>
    <row r="6" customFormat="false" ht="15" hidden="false" customHeight="false" outlineLevel="0" collapsed="false">
      <c r="A6" s="0" t="s">
        <v>679</v>
      </c>
      <c r="B6" s="0" t="n">
        <v>20</v>
      </c>
      <c r="C6" s="0" t="n">
        <v>100</v>
      </c>
      <c r="D6" s="0"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2026-09-10T11:54:42Z</dcterms:created>
  <dc:creator>openpyxl</dc:creator>
  <dc:description/>
  <dc:language>en-US</dc:language>
  <cp:lastModifiedBy/>
  <dcterms:modified xsi:type="dcterms:W3CDTF">2026-09-10T11:54:45Z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