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README" sheetId="1" state="visible" r:id="rId1"/>
    <sheet name="01_Master_Inputs" sheetId="2" state="visible" r:id="rId2"/>
    <sheet name="02_User_Metrics" sheetId="3" state="visible" r:id="rId3"/>
    <sheet name="03_Frontend_CDN" sheetId="4" state="visible" r:id="rId4"/>
    <sheet name="04_API_Gateway" sheetId="5" state="visible" r:id="rId5"/>
    <sheet name="05_Load_Balancer" sheetId="6" state="visible" r:id="rId6"/>
    <sheet name="06_Backend_Services" sheetId="7" state="visible" r:id="rId7"/>
    <sheet name="07_Network_Latency" sheetId="8" state="visible" r:id="rId8"/>
    <sheet name="08_Kafka_Design" sheetId="9" state="visible" r:id="rId9"/>
    <sheet name="09_Database_Design" sheetId="10" state="visible" r:id="rId10"/>
    <sheet name="10_Cache_Redis" sheetId="11" state="visible" r:id="rId11"/>
    <sheet name="11_DLQ_Error_Handling" sheetId="12" state="visible" r:id="rId12"/>
    <sheet name="12_Traffic_Spikes_DDoS" sheetId="13" state="visible" r:id="rId13"/>
    <sheet name="13_Observability" sheetId="14" state="visible" r:id="rId14"/>
    <sheet name="14_Cloud_Provider_Mapping" sheetId="15" state="visible" r:id="rId15"/>
    <sheet name="15_Cloud_Infra_Picker" sheetId="16" state="visible" r:id="rId16"/>
    <sheet name="16_Cost_Estimator" sheetId="17" state="visible" r:id="rId17"/>
    <sheet name="17_Final_Summary_Cheatsheet" sheetId="18" state="visible" r:id="rId18"/>
    <sheet name="18_Interview_Practice" sheetId="19" state="visible" r:id="rId19"/>
    <sheet name="Scenarios" sheetId="20" state="hidden" r:id="rId20"/>
  </sheets>
  <definedNames>
    <definedName name="Scenario_Cell">'01_Master_Inputs'!$B$2</definedName>
    <definedName name="MAU">'01_Master_Inputs'!$B$5</definedName>
    <definedName name="DAU_PCT">'01_Master_Inputs'!$B$6</definedName>
    <definedName name="PEAK_CONCURRENT_PCT">'01_Master_Inputs'!$B$7</definedName>
    <definedName name="ACTIONS_PER_SESSION">'01_Master_Inputs'!$B$8</definedName>
    <definedName name="PEAK_DURATION_SEC">'01_Master_Inputs'!$B$9</definedName>
    <definedName name="SAFETY_BUFFER">'01_Master_Inputs'!$B$10</definedName>
    <definedName name="READ_WRITE_SPLIT_READ_PCT">'01_Master_Inputs'!$B$13</definedName>
    <definedName name="CACHE_HIT_PCT">'01_Master_Inputs'!$B$14</definedName>
    <definedName name="QUERIES_PER_API_CALL">'01_Master_Inputs'!$B$15</definedName>
    <definedName name="AVG_RESPONSE_SIZE_KB">'01_Master_Inputs'!$B$16</definedName>
    <definedName name="AVG_REQUEST_SIZE_KB">'01_Master_Inputs'!$B$17</definedName>
    <definedName name="AVG_MSG_SIZE_KB">'01_Master_Inputs'!$B$20</definedName>
    <definedName name="REPLICATION_FACTOR">'01_Master_Inputs'!$B$21</definedName>
    <definedName name="PRODUCER_PER_PARTITION_MBPS">'01_Master_Inputs'!$B$22</definedName>
    <definedName name="CONSUMER_PER_PARTITION_MBPS">'01_Master_Inputs'!$B$23</definedName>
    <definedName name="BROKER_CAPACITY_MBPS">'01_Master_Inputs'!$B$24</definedName>
    <definedName name="MIN_BROKERS_HA">'01_Master_Inputs'!$B$25</definedName>
    <definedName name="BROKER_MULTIPLE">'01_Master_Inputs'!$B$26</definedName>
    <definedName name="TOPIC_RETENTION_DAYS">'01_Master_Inputs'!$B$27</definedName>
    <definedName name="DB_ROW_SIZE_KB">'01_Master_Inputs'!$B$30</definedName>
    <definedName name="DB_HOT_RETENTION_DAYS">'01_Master_Inputs'!$B$31</definedName>
    <definedName name="DB_CONN_MULTIPLIER">'01_Master_Inputs'!$B$32</definedName>
    <definedName name="DB_CONN_OVERHEAD">'01_Master_Inputs'!$B$33</definedName>
    <definedName name="DB_READ_REPLICA_QPS">'01_Master_Inputs'!$B$34</definedName>
    <definedName name="DB_SSD_IOPS_PER_GB">'01_Master_Inputs'!$B$35</definedName>
    <definedName name="DB_IOPS_PER_QUERY">'01_Master_Inputs'!$B$36</definedName>
    <definedName name="SESSION_SIZE_KB">'01_Master_Inputs'!$B$39</definedName>
    <definedName name="CATALOG_SKUS">'01_Master_Inputs'!$B$40</definedName>
    <definedName name="CATALOG_ENTRY_KB">'01_Master_Inputs'!$B$41</definedName>
    <definedName name="HOT_SKU_COUNT">'01_Master_Inputs'!$B$42</definedName>
    <definedName name="HOT_SKU_ENTRY_KB">'01_Master_Inputs'!$B$43</definedName>
    <definedName name="CACHE_OVERHEAD_FACTOR">'01_Master_Inputs'!$B$44</definedName>
    <definedName name="REDIS_SHARDS">'01_Master_Inputs'!$B$45</definedName>
    <definedName name="REDIS_HEADROOM">'01_Master_Inputs'!$B$46</definedName>
    <definedName name="REDIS_OPS_PER_NODE">'01_Master_Inputs'!$B$47</definedName>
    <definedName name="Cores_Per_App_Instance">'01_Master_Inputs'!$B$50</definedName>
    <definedName name="RAM_Per_App_Instance_GB">'01_Master_Inputs'!$B$51</definedName>
    <definedName name="Order_Svc_Instances">'01_Master_Inputs'!$B$52</definedName>
    <definedName name="Payment_Svc_Instances">'01_Master_Inputs'!$B$53</definedName>
    <definedName name="Inventory_Svc_Instances">'01_Master_Inputs'!$B$54</definedName>
    <definedName name="Notification_Svc_Instances">'01_Master_Inputs'!$B$55</definedName>
    <definedName name="Search_Svc_Instances">'01_Master_Inputs'!$B$56</definedName>
    <definedName name="Gateway_Instances">'01_Master_Inputs'!$B$57</definedName>
    <definedName name="RPS_Per_App_Instance">'01_Master_Inputs'!$B$58</definedName>
    <definedName name="Gateway_RPS_Capacity">'01_Master_Inputs'!$B$61</definedName>
    <definedName name="Gateway_CPU_Util_Target">'01_Master_Inputs'!$B$62</definedName>
    <definedName name="Gateway_Overhead_ms">'01_Master_Inputs'!$B$63</definedName>
    <definedName name="SSL_Handshake_ms">'01_Master_Inputs'!$B$64</definedName>
    <definedName name="SSL_Rate_Pct">'01_Master_Inputs'!$B$65</definedName>
    <definedName name="WAF_Rules">'01_Master_Inputs'!$B$66</definedName>
    <definedName name="Rate_Limit_Anonymous_RPM">'01_Master_Inputs'!$B$67</definedName>
    <definedName name="Rate_Limit_User_RPM">'01_Master_Inputs'!$B$68</definedName>
    <definedName name="Rate_Limit_Premium_RPM">'01_Master_Inputs'!$B$69</definedName>
    <definedName name="DNS_Lookup_ms">'01_Master_Inputs'!$B$72</definedName>
    <definedName name="CDN_Edge_ms">'01_Master_Inputs'!$B$73</definedName>
    <definedName name="CDN_Origin_Miss_ms">'01_Master_Inputs'!$B$74</definedName>
    <definedName name="LB_Forward_ms">'01_Master_Inputs'!$B$75</definedName>
    <definedName name="Service_Process_ms">'01_Master_Inputs'!$B$76</definedName>
    <definedName name="DB_Query_ms">'01_Master_Inputs'!$B$77</definedName>
    <definedName name="Redis_Query_ms">'01_Master_Inputs'!$B$78</definedName>
    <definedName name="SLA_P95_ms">'01_Master_Inputs'!$B$79</definedName>
    <definedName name="Max_Retries">'01_Master_Inputs'!$B$82</definedName>
    <definedName name="Retry_Backoff_Base_sec">'01_Master_Inputs'!$B$83</definedName>
    <definedName name="Retry_Backoff_Multiplier">'01_Master_Inputs'!$B$84</definedName>
    <definedName name="DLQ_Retention_Days">'01_Master_Inputs'!$B$85</definedName>
    <definedName name="Reprocess_Batch_Size">'01_Master_Inputs'!$B$86</definedName>
    <definedName name="Reprocess_Interval_min">'01_Master_Inputs'!$B$87</definedName>
    <definedName name="Spike_Multiplier">'01_Master_Inputs'!$B$90</definedName>
    <definedName name="DDoS_Peak_RPS">'01_Master_Inputs'!$B$91</definedName>
    <definedName name="Auto_Scale_Trigger_CPU">'01_Master_Inputs'!$B$92</definedName>
    <definedName name="Auto_Scale_Cooldown_sec">'01_Master_Inputs'!$B$93</definedName>
    <definedName name="Load_Shed_Threshold_Pct">'01_Master_Inputs'!$B$94</definedName>
    <definedName name="Metrics_Retention_Days">'01_Master_Inputs'!$B$97</definedName>
    <definedName name="Log_Retention_Days">'01_Master_Inputs'!$B$98</definedName>
    <definedName name="Trace_Sample_Rate_Pct">'01_Master_Inputs'!$B$99</definedName>
    <definedName name="Log_Size_Per_Request_KB">'01_Master_Inputs'!$B$100</definedName>
    <definedName name="Cost_Broker_hr">'01_Master_Inputs'!$B$103</definedName>
    <definedName name="Cost_App_hr">'01_Master_Inputs'!$B$104</definedName>
    <definedName name="Cost_DB_hr">'01_Master_Inputs'!$B$105</definedName>
    <definedName name="Cost_Redis_hr">'01_Master_Inputs'!$B$106</definedName>
    <definedName name="Cost_Gateway_hr">'01_Master_Inputs'!$B$107</definedName>
    <definedName name="Cost_NLB_hr">'01_Master_Inputs'!$B$108</definedName>
    <definedName name="Cost_Hours_Month">'01_Master_Inputs'!$B$109</definedName>
    <definedName name="Cost_Egress_Per_GB">'01_Master_Inputs'!$B$110</definedName>
    <definedName name="Cost_S3_Per_TB">'01_Master_Inputs'!$B$111</definedName>
    <definedName name="Cost_CDN_Per_GB">'01_Master_Inputs'!$B$112</definedName>
    <definedName name="DAU">'02_User_Metrics'!$C$4</definedName>
    <definedName name="PCU">'02_User_Metrics'!$C$5</definedName>
    <definedName name="Raw_RPS">'02_User_Metrics'!$C$6</definedName>
    <definedName name="Peak_RPS">'02_User_Metrics'!$C$7</definedName>
    <definedName name="Daily_Requests">'02_User_Metrics'!$C$8</definedName>
    <definedName name="Monthly_Requests">'02_User_Metrics'!$C$9</definedName>
    <definedName name="Peak_Bandwidth_MBps">'02_User_Metrics'!$C$10</definedName>
    <definedName name="Daily_Egress_GB">'02_User_Metrics'!$C$12</definedName>
    <definedName name="Monthly_Egress_TB">'02_User_Metrics'!$C$13</definedName>
    <definedName name="Static_Asset_MB_Per_User">'03_Frontend_CDN'!$B$4</definedName>
    <definedName name="CDN_Cache_Hit_Ratio_Pct">'03_Frontend_CDN'!$B$5</definedName>
    <definedName name="Edge_Node_Capacity_RPS">'03_Frontend_CDN'!$B$6</definedName>
    <definedName name="CDN_PoPs_Global">'03_Frontend_CDN'!$B$7</definedName>
    <definedName name="Compression_Reduction_Pct">'03_Frontend_CDN'!$B$8</definedName>
    <definedName name="Service_Worker_Hit_Pct">'03_Frontend_CDN'!$B$9</definedName>
    <definedName name="Origin_Dynamic_RPS">'03_Frontend_CDN'!$C$18</definedName>
    <definedName name="Gateway_Effective_RPS">'04_API_Gateway'!$C$5</definedName>
    <definedName name="Gateway_AZs">'04_API_Gateway'!$C$7</definedName>
    <definedName name="Gateway_Instances_Sized">'04_API_Gateway'!$C$9</definedName>
    <definedName name="Gateway_Latency_ms">'04_API_Gateway'!$C$10</definedName>
    <definedName name="LB_Instances">'05_Load_Balancer'!$C$5</definedName>
    <definedName name="Total_App_Instances">'06_Backend_Services'!$B$10</definedName>
    <definedName name="Total_vCPU">'06_Backend_Services'!$C$10</definedName>
    <definedName name="Total_RAM_GB">'06_Backend_Services'!$D$10</definedName>
    <definedName name="Total_RPS_Capacity">'06_Backend_Services'!$F$10</definedName>
    <definedName name="P95_Latency_ms">'07_Network_Latency'!$C$21</definedName>
    <definedName name="Kafka_MBps">'08_Kafka_Design'!$C$5</definedName>
    <definedName name="Kafka_Internal_MBps">'08_Kafka_Design'!$C$6</definedName>
    <definedName name="Kafka_Partitions">'08_Kafka_Design'!$C$16</definedName>
    <definedName name="Kafka_Brokers">'08_Kafka_Design'!$C$17</definedName>
    <definedName name="Actual_DB_QPS">'09_Database_Design'!$C$10</definedName>
    <definedName name="DB_Recommended_IOPS">'09_Database_Design'!$C$15</definedName>
    <definedName name="DB_Storage_GB">'09_Database_Design'!$C$33</definedName>
    <definedName name="DB_Read_Replicas">'09_Database_Design'!$C$40</definedName>
    <definedName name="Redis_Cluster_GB">'10_Cache_Redis'!$C$11</definedName>
    <definedName name="Redis_Nodes">'10_Cache_Redis'!$C$17</definedName>
    <definedName name="DLQ_Msgs_Per_Day">'11_DLQ_Error_Handling'!$C$11</definedName>
    <definedName name="Total_Monthly_Cost">'16_Cost_Estimator'!$E$20</definedName>
    <definedName name="Total_Annual_Cost">'16_Cost_Estimator'!$F$20</definedName>
  </definedNames>
  <calcPr calcId="124519" fullCalcOnLoad="1"/>
</workbook>
</file>

<file path=xl/styles.xml><?xml version="1.0" encoding="utf-8"?>
<styleSheet xmlns="http://schemas.openxmlformats.org/spreadsheetml/2006/main">
  <numFmts count="5">
    <numFmt numFmtId="164" formatCode="#,##0.####"/>
    <numFmt numFmtId="165" formatCode="0.0%"/>
    <numFmt numFmtId="166" formatCode="$0.0000"/>
    <numFmt numFmtId="167" formatCode="$#,##0"/>
    <numFmt numFmtId="168" formatCode="#,##0.##"/>
  </numFmts>
  <fonts count="10">
    <font>
      <name val="Calibri"/>
      <family val="2"/>
      <color theme="1"/>
      <sz val="11"/>
      <scheme val="minor"/>
    </font>
    <font>
      <name val="Arial"/>
      <b val="1"/>
      <color rgb="002C3E50"/>
      <sz val="16"/>
    </font>
    <font>
      <name val="Arial"/>
      <b val="1"/>
      <color rgb="00FFFFFF"/>
      <sz val="10"/>
    </font>
    <font>
      <name val="Arial"/>
      <b val="1"/>
      <sz val="10"/>
    </font>
    <font>
      <name val="Arial"/>
      <sz val="10"/>
    </font>
    <font>
      <name val="Arial"/>
      <b val="1"/>
      <color rgb="00FFFFFF"/>
      <sz val="12"/>
    </font>
    <font>
      <name val="Arial"/>
      <b val="1"/>
      <sz val="12"/>
    </font>
    <font>
      <name val="Arial"/>
      <i val="1"/>
      <color rgb="00555555"/>
      <sz val="9"/>
    </font>
    <font>
      <name val="Consolas"/>
      <sz val="9"/>
    </font>
    <font>
      <name val="Arial"/>
      <i val="1"/>
      <color rgb="001B4F72"/>
      <sz val="10"/>
    </font>
  </fonts>
  <fills count="10">
    <fill>
      <patternFill/>
    </fill>
    <fill>
      <patternFill patternType="gray125"/>
    </fill>
    <fill>
      <patternFill patternType="solid">
        <fgColor rgb="004A6FA5"/>
      </patternFill>
    </fill>
    <fill>
      <patternFill patternType="solid">
        <fgColor rgb="00FFF3CD"/>
      </patternFill>
    </fill>
    <fill>
      <patternFill patternType="solid">
        <fgColor rgb="00D1ECF1"/>
      </patternFill>
    </fill>
    <fill>
      <patternFill patternType="solid">
        <fgColor rgb="00D4EDDA"/>
      </patternFill>
    </fill>
    <fill>
      <patternFill patternType="solid">
        <fgColor rgb="00F8D7DA"/>
      </patternFill>
    </fill>
    <fill>
      <patternFill patternType="solid">
        <fgColor rgb="00E2D9F3"/>
      </patternFill>
    </fill>
    <fill>
      <patternFill patternType="solid">
        <fgColor rgb="002C3E50"/>
      </patternFill>
    </fill>
    <fill>
      <patternFill patternType="solid">
        <fgColor rgb="00EAF2F8"/>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9">
    <xf numFmtId="0" fontId="0" fillId="0" borderId="0" pivotButton="0" quotePrefix="0" xfId="0"/>
    <xf numFmtId="0" fontId="1" fillId="0" borderId="0" applyAlignment="1" pivotButton="0" quotePrefix="0" xfId="0">
      <alignment horizontal="left" vertical="center"/>
    </xf>
    <xf numFmtId="0" fontId="2" fillId="2" borderId="0" applyAlignment="1" pivotButton="0" quotePrefix="0" xfId="0">
      <alignment horizontal="left" vertical="center" indent="1"/>
    </xf>
    <xf numFmtId="0" fontId="0" fillId="0" borderId="0" applyAlignment="1" pivotButton="0" quotePrefix="0" xfId="0">
      <alignment vertical="top" wrapText="1"/>
    </xf>
    <xf numFmtId="0" fontId="3" fillId="3" borderId="1" pivotButton="0" quotePrefix="0" xfId="0"/>
    <xf numFmtId="0" fontId="0" fillId="0" borderId="1" applyAlignment="1" pivotButton="0" quotePrefix="0" xfId="0">
      <alignment vertical="top" wrapText="1"/>
    </xf>
    <xf numFmtId="0" fontId="3" fillId="4" borderId="1" pivotButton="0" quotePrefix="0" xfId="0"/>
    <xf numFmtId="0" fontId="3" fillId="5" borderId="1" pivotButton="0" quotePrefix="0" xfId="0"/>
    <xf numFmtId="0" fontId="3" fillId="6" borderId="1" pivotButton="0" quotePrefix="0" xfId="0"/>
    <xf numFmtId="0" fontId="3" fillId="7" borderId="1" pivotButton="0" quotePrefix="0" xfId="0"/>
    <xf numFmtId="0" fontId="0" fillId="0" borderId="0" applyAlignment="1" pivotButton="0" quotePrefix="0" xfId="0">
      <alignment horizontal="center" vertical="center"/>
    </xf>
    <xf numFmtId="0" fontId="4" fillId="0" borderId="0" pivotButton="0" quotePrefix="0" xfId="0"/>
    <xf numFmtId="0" fontId="6" fillId="0" borderId="0" pivotButton="0" quotePrefix="0" xfId="0"/>
    <xf numFmtId="0" fontId="6" fillId="3" borderId="1" pivotButton="0" quotePrefix="0" xfId="0"/>
    <xf numFmtId="0" fontId="7" fillId="0" borderId="0" pivotButton="0" quotePrefix="0" xfId="0"/>
    <xf numFmtId="0" fontId="4" fillId="0" borderId="1" pivotButton="0" quotePrefix="0" xfId="0"/>
    <xf numFmtId="164" fontId="3" fillId="3" borderId="1" pivotButton="0" quotePrefix="0" xfId="0"/>
    <xf numFmtId="164" fontId="3" fillId="4" borderId="1" pivotButton="0" quotePrefix="0" xfId="0"/>
    <xf numFmtId="0" fontId="2" fillId="2" borderId="1" applyAlignment="1" pivotButton="0" quotePrefix="0" xfId="0">
      <alignment horizontal="center" vertical="center"/>
    </xf>
    <xf numFmtId="0" fontId="4" fillId="0" borderId="1" applyAlignment="1" pivotButton="0" quotePrefix="0" xfId="0">
      <alignment vertical="center"/>
    </xf>
    <xf numFmtId="0" fontId="8" fillId="0" borderId="1" applyAlignment="1" pivotButton="0" quotePrefix="0" xfId="0">
      <alignment vertical="top" wrapText="1"/>
    </xf>
    <xf numFmtId="0" fontId="3" fillId="5" borderId="1" applyAlignment="1" pivotButton="0" quotePrefix="0" xfId="0">
      <alignment vertical="center"/>
    </xf>
    <xf numFmtId="4" fontId="3" fillId="5" borderId="1" applyAlignment="1" pivotButton="0" quotePrefix="0" xfId="0">
      <alignment vertical="center"/>
    </xf>
    <xf numFmtId="0" fontId="7" fillId="0" borderId="1" applyAlignment="1" pivotButton="0" quotePrefix="0" xfId="0">
      <alignment vertical="top" wrapText="1"/>
    </xf>
    <xf numFmtId="0" fontId="3" fillId="4" borderId="1" applyAlignment="1" pivotButton="0" quotePrefix="0" xfId="0">
      <alignment vertical="center"/>
    </xf>
    <xf numFmtId="4" fontId="3" fillId="4" borderId="1" applyAlignment="1" pivotButton="0" quotePrefix="0" xfId="0">
      <alignment vertical="center"/>
    </xf>
    <xf numFmtId="0" fontId="9" fillId="9" borderId="1" applyAlignment="1" pivotButton="0" quotePrefix="0" xfId="0">
      <alignment vertical="top" wrapText="1"/>
    </xf>
    <xf numFmtId="0" fontId="3" fillId="3" borderId="1" applyAlignment="1" pivotButton="0" quotePrefix="0" xfId="0">
      <alignment vertical="center"/>
    </xf>
    <xf numFmtId="4" fontId="3" fillId="3" borderId="1" applyAlignment="1" pivotButton="0" quotePrefix="0" xfId="0">
      <alignment vertical="center"/>
    </xf>
    <xf numFmtId="0" fontId="5" fillId="8" borderId="1" applyAlignment="1" pivotButton="0" quotePrefix="0" xfId="0">
      <alignment horizontal="center" vertical="center"/>
    </xf>
    <xf numFmtId="0" fontId="0" fillId="0" borderId="1" pivotButton="0" quotePrefix="0" xfId="0"/>
    <xf numFmtId="0" fontId="0" fillId="4" borderId="1" pivotButton="0" quotePrefix="0" xfId="0"/>
    <xf numFmtId="0" fontId="0" fillId="5" borderId="1" pivotButton="0" quotePrefix="0" xfId="0"/>
    <xf numFmtId="0" fontId="3" fillId="6" borderId="1" applyAlignment="1" pivotButton="0" quotePrefix="0" xfId="0">
      <alignment vertical="center"/>
    </xf>
    <xf numFmtId="4" fontId="3" fillId="6" borderId="1" applyAlignment="1" pivotButton="0" quotePrefix="0" xfId="0">
      <alignment vertical="center"/>
    </xf>
    <xf numFmtId="165" fontId="0" fillId="0" borderId="1" pivotButton="0" quotePrefix="0" xfId="0"/>
    <xf numFmtId="0" fontId="0" fillId="0" borderId="1" applyAlignment="1" pivotButton="0" quotePrefix="0" xfId="0">
      <alignment vertical="center"/>
    </xf>
    <xf numFmtId="0" fontId="8" fillId="0" borderId="0" pivotButton="0" quotePrefix="0" xfId="0"/>
    <xf numFmtId="0" fontId="3" fillId="7" borderId="1" applyAlignment="1" pivotButton="0" quotePrefix="0" xfId="0">
      <alignment vertical="center"/>
    </xf>
    <xf numFmtId="4" fontId="3" fillId="7" borderId="1" applyAlignment="1" pivotButton="0" quotePrefix="0" xfId="0">
      <alignment vertical="center"/>
    </xf>
    <xf numFmtId="0" fontId="8" fillId="0" borderId="0" applyAlignment="1" pivotButton="0" quotePrefix="0" xfId="0">
      <alignment vertical="top" wrapText="1"/>
    </xf>
    <xf numFmtId="0" fontId="0" fillId="7" borderId="1" pivotButton="0" quotePrefix="0" xfId="0"/>
    <xf numFmtId="0" fontId="7" fillId="0" borderId="0" applyAlignment="1" pivotButton="0" quotePrefix="0" xfId="0">
      <alignment vertical="top" wrapText="1"/>
    </xf>
    <xf numFmtId="166" fontId="0" fillId="0" borderId="1" pivotButton="0" quotePrefix="0" xfId="0"/>
    <xf numFmtId="167" fontId="0" fillId="5" borderId="1" pivotButton="0" quotePrefix="0" xfId="0"/>
    <xf numFmtId="167" fontId="0" fillId="0" borderId="1" pivotButton="0" quotePrefix="0" xfId="0"/>
    <xf numFmtId="167" fontId="3" fillId="5" borderId="1" pivotButton="0" quotePrefix="0" xfId="0"/>
    <xf numFmtId="168" fontId="0" fillId="5" borderId="1" pivotButton="0" quotePrefix="0" xfId="0"/>
    <xf numFmtId="0" fontId="3" fillId="0" borderId="1" pivotButton="0" quotePrefix="0" xfId="0"/>
  </cellXfs>
  <cellStyles count="1">
    <cellStyle name="Normal" xfId="0" builtinId="0" hidden="0"/>
  </cellStyles>
  <dxfs count="2">
    <dxf>
      <fill>
        <patternFill patternType="solid">
          <fgColor rgb="00D4EDDA"/>
        </patternFill>
      </fill>
    </dxf>
    <dxf>
      <fill>
        <patternFill patternType="solid">
          <fgColor rgb="00F8D7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p>
            <a:pPr>
              <a:defRPr/>
            </a:pPr>
            <a:r>
              <a:t>Latency Waterfall - Cumulative ms by Hop</a:t>
            </a:r>
          </a:p>
        </rich>
      </tx>
    </title>
    <plotArea>
      <barChart>
        <barDir val="col"/>
        <grouping val="clustered"/>
        <ser>
          <idx val="0"/>
          <order val="0"/>
          <spPr>
            <a:ln>
              <a:prstDash val="solid"/>
            </a:ln>
          </spPr>
          <cat>
            <numRef>
              <f>'07_Network_Latency'!$A$4:$A$15</f>
            </numRef>
          </cat>
          <val>
            <numRef>
              <f>'07_Network_Latency'!$C$4:$C$15</f>
            </numRef>
          </val>
        </ser>
        <gapWidth val="150"/>
        <axId val="10"/>
        <axId val="100"/>
      </barChart>
      <catAx>
        <axId val="10"/>
        <scaling>
          <orientation val="minMax"/>
        </scaling>
        <axPos val="l"/>
        <title>
          <tx>
            <rich>
              <a:bodyPr/>
              <a:p>
                <a:pPr>
                  <a:defRPr/>
                </a:pPr>
                <a:r>
                  <a:t>Hop</a:t>
                </a:r>
              </a:p>
            </rich>
          </tx>
        </title>
        <majorTickMark val="none"/>
        <minorTickMark val="none"/>
        <crossAx val="100"/>
        <lblOffset val="100"/>
      </catAx>
      <valAx>
        <axId val="100"/>
        <scaling>
          <orientation val="minMax"/>
        </scaling>
        <axPos val="l"/>
        <majorGridlines/>
        <title>
          <tx>
            <rich>
              <a:bodyPr/>
              <a:p>
                <a:pPr>
                  <a:defRPr/>
                </a:pPr>
                <a:r>
                  <a:t>Cumulative ms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Throughput vs Partitions Sensitivity</a:t>
            </a:r>
          </a:p>
        </rich>
      </tx>
    </title>
    <plotArea>
      <lineChart>
        <grouping val="standard"/>
        <ser>
          <idx val="0"/>
          <order val="0"/>
          <tx>
            <strRef>
              <f>'08_Kafka_Design'!B55</f>
            </strRef>
          </tx>
          <spPr>
            <a:ln>
              <a:prstDash val="solid"/>
            </a:ln>
          </spPr>
          <marker>
            <symbol val="none"/>
            <spPr>
              <a:ln>
                <a:prstDash val="solid"/>
              </a:ln>
            </spPr>
          </marker>
          <cat>
            <numRef>
              <f>'08_Kafka_Design'!$A$56:$A$63</f>
            </numRef>
          </cat>
          <val>
            <numRef>
              <f>'08_Kafka_Design'!$B$56:$B$63</f>
            </numRef>
          </val>
        </ser>
        <ser>
          <idx val="1"/>
          <order val="1"/>
          <tx>
            <strRef>
              <f>'08_Kafka_Design'!C55</f>
            </strRef>
          </tx>
          <spPr>
            <a:ln>
              <a:prstDash val="solid"/>
            </a:ln>
          </spPr>
          <marker>
            <symbol val="none"/>
            <spPr>
              <a:ln>
                <a:prstDash val="solid"/>
              </a:ln>
            </spPr>
          </marker>
          <cat>
            <numRef>
              <f>'08_Kafka_Design'!$A$56:$A$63</f>
            </numRef>
          </cat>
          <val>
            <numRef>
              <f>'08_Kafka_Design'!$C$56:$C$63</f>
            </numRef>
          </val>
        </ser>
        <axId val="10"/>
        <axId val="100"/>
      </lineChart>
      <catAx>
        <axId val="10"/>
        <scaling>
          <orientation val="minMax"/>
        </scaling>
        <axPos val="l"/>
        <title>
          <tx>
            <rich>
              <a:bodyPr/>
              <a:p>
                <a:pPr>
                  <a:defRPr/>
                </a:pPr>
                <a:r>
                  <a:t>Partitions</a:t>
                </a:r>
              </a:p>
            </rich>
          </tx>
        </title>
        <majorTickMark val="none"/>
        <minorTickMark val="none"/>
        <crossAx val="100"/>
        <lblOffset val="100"/>
      </catAx>
      <valAx>
        <axId val="100"/>
        <scaling>
          <orientation val="minMax"/>
        </scaling>
        <axPos val="l"/>
        <majorGridlines/>
        <title>
          <tx>
            <rich>
              <a:bodyPr/>
              <a:p>
                <a:pPr>
                  <a:defRPr/>
                </a:pPr>
                <a:r>
                  <a:t>MB/s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Monthly Cost Breakdown</a:t>
            </a:r>
          </a:p>
        </rich>
      </tx>
    </title>
    <plotArea>
      <pieChart>
        <varyColors val="1"/>
        <ser>
          <idx val="0"/>
          <order val="0"/>
          <spPr>
            <a:ln>
              <a:prstDash val="solid"/>
            </a:ln>
          </spPr>
          <cat>
            <numRef>
              <f>'16_Cost_Estimator'!$A$4:$A$18</f>
            </numRef>
          </cat>
          <val>
            <numRef>
              <f>'16_Cost_Estimator'!$E$4:$E$18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2</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2</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7.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fitToPage="1"/>
  </sheetPr>
  <dimension ref="A1:E37"/>
  <sheetViews>
    <sheetView workbookViewId="0">
      <selection activeCell="A1" sqref="A1"/>
    </sheetView>
  </sheetViews>
  <sheetFormatPr baseColWidth="8" defaultRowHeight="15"/>
  <cols>
    <col width="28" customWidth="1" min="1" max="1"/>
    <col width="70" customWidth="1" min="2" max="2"/>
    <col width="18" customWidth="1" min="3" max="3"/>
    <col width="18" customWidth="1" min="4" max="4"/>
    <col width="18" customWidth="1" min="5" max="5"/>
  </cols>
  <sheetData>
    <row r="1" ht="26" customHeight="1">
      <c r="A1" s="1" t="inlineStr">
        <is>
          <t>System Design Master Calculator — How To Use This Workbook</t>
        </is>
      </c>
    </row>
    <row r="3" ht="18" customHeight="1">
      <c r="A3" s="2" t="inlineStr">
        <is>
          <t>PURPOSE</t>
        </is>
      </c>
    </row>
    <row r="4" ht="45" customHeight="1">
      <c r="A4" s="3" t="inlineStr">
        <is>
          <t>One formula-driven model of an Amazon/Flipkart-scale e-commerce platform, front door to backend to cost. Change the inputs on 01_Master_Inputs and every sheet recalculates: user metrics -&gt; CDN -&gt; gateway -&gt; load balancer -&gt; backend services -&gt; network latency -&gt; Kafka -&gt; Postgres -&gt; Redis -&gt; DLQ -&gt; traffic spikes -&gt; observability -&gt; cloud mapping -&gt; cost.</t>
        </is>
      </c>
    </row>
    <row r="6" ht="18" customHeight="1">
      <c r="A6" s="2" t="inlineStr">
        <is>
          <t>COLOR LEGEND</t>
        </is>
      </c>
    </row>
    <row r="7" ht="28" customHeight="1">
      <c r="A7" s="4" t="inlineStr">
        <is>
          <t>Yellow</t>
        </is>
      </c>
      <c r="B7" s="5" t="inlineStr">
        <is>
          <t>Input — the only cells you should type over. All live on 01_Master_Inputs (plus the scenario cell).</t>
        </is>
      </c>
    </row>
    <row r="8" ht="28" customHeight="1">
      <c r="A8" s="6" t="inlineStr">
        <is>
          <t>Blue</t>
        </is>
      </c>
      <c r="B8" s="5" t="inlineStr">
        <is>
          <t>Intermediate calculation — derived, feeds another formula downstream.</t>
        </is>
      </c>
    </row>
    <row r="9" ht="28" customHeight="1">
      <c r="A9" s="7" t="inlineStr">
        <is>
          <t>Green</t>
        </is>
      </c>
      <c r="B9" s="5" t="inlineStr">
        <is>
          <t>Final recommendation — the number you say out loud in the interview.</t>
        </is>
      </c>
    </row>
    <row r="10" ht="28" customHeight="1">
      <c r="A10" s="8" t="inlineStr">
        <is>
          <t>Red</t>
        </is>
      </c>
      <c r="B10" s="5" t="inlineStr">
        <is>
          <t>Warning / bottleneck — headroom too thin, SLA breach, or a scaling limit.</t>
        </is>
      </c>
    </row>
    <row r="11" ht="28" customHeight="1">
      <c r="A11" s="9" t="inlineStr">
        <is>
          <t>Purple</t>
        </is>
      </c>
      <c r="B11" s="5" t="inlineStr">
        <is>
          <t>Cloud-specific mapping — AWS/GCP/Azure/VPS service equivalence.</t>
        </is>
      </c>
    </row>
    <row r="13" ht="18" customHeight="1">
      <c r="A13" s="2" t="inlineStr">
        <is>
          <t>SHEET MAP (data-flow order)</t>
        </is>
      </c>
    </row>
    <row r="14">
      <c r="A14" s="10" t="inlineStr">
        <is>
          <t>→</t>
        </is>
      </c>
      <c r="B14" s="11" t="inlineStr">
        <is>
          <t>01_Master_Inputs - control panel + scenario dropdown</t>
        </is>
      </c>
    </row>
    <row r="15">
      <c r="A15" s="10" t="inlineStr">
        <is>
          <t>→</t>
        </is>
      </c>
      <c r="B15" s="11" t="inlineStr">
        <is>
          <t>02_User_Metrics - MAU/DAU/PCU/RPS</t>
        </is>
      </c>
    </row>
    <row r="16">
      <c r="A16" s="10" t="inlineStr">
        <is>
          <t>→</t>
        </is>
      </c>
      <c r="B16" s="11" t="inlineStr">
        <is>
          <t>03_Frontend_CDN - static assets, CDN offload</t>
        </is>
      </c>
    </row>
    <row r="17">
      <c r="A17" s="10" t="inlineStr">
        <is>
          <t>→</t>
        </is>
      </c>
      <c r="B17" s="11" t="inlineStr">
        <is>
          <t>04_API_Gateway - rate limiting, auth, WAF, resilience</t>
        </is>
      </c>
    </row>
    <row r="18">
      <c r="A18" s="10" t="inlineStr">
        <is>
          <t>→</t>
        </is>
      </c>
      <c r="B18" s="11" t="inlineStr">
        <is>
          <t>05_Load_Balancer - L4/L7, TLS, connections</t>
        </is>
      </c>
    </row>
    <row r="19">
      <c r="A19" s="10" t="inlineStr">
        <is>
          <t>→</t>
        </is>
      </c>
      <c r="B19" s="11" t="inlineStr">
        <is>
          <t>06_Backend_Services - microservice sizing table</t>
        </is>
      </c>
    </row>
    <row r="20">
      <c r="A20" s="10" t="inlineStr">
        <is>
          <t>→</t>
        </is>
      </c>
      <c r="B20" s="11" t="inlineStr">
        <is>
          <t>07_Network_Latency - hop-by-hop budget, SLA check</t>
        </is>
      </c>
    </row>
    <row r="21">
      <c r="A21" s="10" t="inlineStr">
        <is>
          <t>→</t>
        </is>
      </c>
      <c r="B21" s="11" t="inlineStr">
        <is>
          <t>08_Kafka_Design - brokers, partitions, topics, KRaft</t>
        </is>
      </c>
    </row>
    <row r="22">
      <c r="A22" s="10" t="inlineStr">
        <is>
          <t>→</t>
        </is>
      </c>
      <c r="B22" s="11" t="inlineStr">
        <is>
          <t>09_Database_Design - QPS, IOPS, connections, storage</t>
        </is>
      </c>
    </row>
    <row r="23">
      <c r="A23" s="10" t="inlineStr">
        <is>
          <t>→</t>
        </is>
      </c>
      <c r="B23" s="11" t="inlineStr">
        <is>
          <t>10_Cache_Redis - memory sizing, ops, cluster config</t>
        </is>
      </c>
    </row>
    <row r="24">
      <c r="A24" s="10" t="inlineStr">
        <is>
          <t>→</t>
        </is>
      </c>
      <c r="B24" s="11" t="inlineStr">
        <is>
          <t>11_DLQ_Error_Handling - retries, DLQ schema, reprocessing</t>
        </is>
      </c>
    </row>
    <row r="25">
      <c r="A25" s="10" t="inlineStr">
        <is>
          <t>→</t>
        </is>
      </c>
      <c r="B25" s="11" t="inlineStr">
        <is>
          <t>12_Traffic_Spikes_DDoS - autoscale math, load shedding</t>
        </is>
      </c>
    </row>
    <row r="26">
      <c r="A26" s="10" t="inlineStr">
        <is>
          <t>→</t>
        </is>
      </c>
      <c r="B26" s="11" t="inlineStr">
        <is>
          <t>13_Observability - metrics/logs/traces volume, SLOs</t>
        </is>
      </c>
    </row>
    <row r="27">
      <c r="A27" s="10" t="inlineStr">
        <is>
          <t>→</t>
        </is>
      </c>
      <c r="B27" s="11" t="inlineStr">
        <is>
          <t>14_Cloud_Provider_Mapping - AWS vs GCP vs Azure vs VPS</t>
        </is>
      </c>
    </row>
    <row r="28">
      <c r="A28" s="10" t="inlineStr">
        <is>
          <t>→</t>
        </is>
      </c>
      <c r="B28" s="11" t="inlineStr">
        <is>
          <t>15_Cloud_Infra_Picker - instance types cheat sheet</t>
        </is>
      </c>
    </row>
    <row r="29">
      <c r="A29" s="10" t="inlineStr">
        <is>
          <t>→</t>
        </is>
      </c>
      <c r="B29" s="11" t="inlineStr">
        <is>
          <t>16_Cost_Estimator - monthly/annual cost</t>
        </is>
      </c>
    </row>
    <row r="30">
      <c r="A30" s="10" t="inlineStr">
        <is>
          <t>→</t>
        </is>
      </c>
      <c r="B30" s="11" t="inlineStr">
        <is>
          <t>17_Final_Summary_Cheatsheet - one-page whiteboard script</t>
        </is>
      </c>
    </row>
    <row r="31">
      <c r="A31" s="10" t="inlineStr">
        <is>
          <t>→</t>
        </is>
      </c>
      <c r="B31" s="11" t="inlineStr">
        <is>
          <t>18_Interview_Practice - 10 scenarios with model answers</t>
        </is>
      </c>
    </row>
    <row r="33" ht="18" customHeight="1">
      <c r="A33" s="2" t="inlineStr">
        <is>
          <t>HOW TO RUN A SCENARIO</t>
        </is>
      </c>
    </row>
    <row r="34" ht="45" customHeight="1">
      <c r="A34" s="3" t="inlineStr">
        <is>
          <t>Go to 01_Master_Inputs, cell B2. Pick Normal / Flash Sale / Black Friday / Cyber Monday / DDoS from the dropdown. DAU%, Peak-concurrency% and the spike multiplier are pulled via INDEX/MATCH from the hidden 'Scenarios' sheet, and every downstream sheet recalculates instantly.</t>
        </is>
      </c>
    </row>
    <row r="36" ht="18" customHeight="1">
      <c r="A36" s="2" t="inlineStr">
        <is>
          <t>PRINTING</t>
        </is>
      </c>
    </row>
    <row r="37" ht="30" customHeight="1">
      <c r="A37" s="3" t="inlineStr">
        <is>
          <t>Every sheet is pre-set to landscape, fit-to-1-page-wide, with a repeating header. File &gt; Print &gt; Entire Workbook to produce your physical cheat-deck.</t>
        </is>
      </c>
    </row>
  </sheetData>
  <mergeCells count="32">
    <mergeCell ref="A34:E34"/>
    <mergeCell ref="B9:E9"/>
    <mergeCell ref="B30:E30"/>
    <mergeCell ref="B15:E15"/>
    <mergeCell ref="A1:E1"/>
    <mergeCell ref="B24:E24"/>
    <mergeCell ref="A36:E36"/>
    <mergeCell ref="B20:E20"/>
    <mergeCell ref="A6:E6"/>
    <mergeCell ref="B26:E26"/>
    <mergeCell ref="B16:E16"/>
    <mergeCell ref="B7:E7"/>
    <mergeCell ref="B25:E25"/>
    <mergeCell ref="A37:E37"/>
    <mergeCell ref="B22:E22"/>
    <mergeCell ref="A3:E3"/>
    <mergeCell ref="B31:E31"/>
    <mergeCell ref="B18:E18"/>
    <mergeCell ref="B27:E27"/>
    <mergeCell ref="B21:E21"/>
    <mergeCell ref="A33:E33"/>
    <mergeCell ref="B11:E11"/>
    <mergeCell ref="B14:E14"/>
    <mergeCell ref="B17:E17"/>
    <mergeCell ref="B23:E23"/>
    <mergeCell ref="A4:E4"/>
    <mergeCell ref="B8:E8"/>
    <mergeCell ref="B29:E29"/>
    <mergeCell ref="A13:E13"/>
    <mergeCell ref="B19:E19"/>
    <mergeCell ref="B10:E10"/>
    <mergeCell ref="B28:E28"/>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112"/>
  <sheetViews>
    <sheetView workbookViewId="0">
      <selection activeCell="A1" sqref="A1"/>
    </sheetView>
  </sheetViews>
  <sheetFormatPr baseColWidth="8" defaultRowHeight="15"/>
  <cols>
    <col width="34" customWidth="1" min="1" max="1"/>
    <col width="16" customWidth="1" min="2" max="2"/>
    <col width="10" customWidth="1" min="3" max="3"/>
    <col width="46" customWidth="1" min="4" max="4"/>
    <col width="10" customWidth="1" min="5" max="5"/>
  </cols>
  <sheetData>
    <row r="1" ht="26" customHeight="1">
      <c r="A1" s="1" t="inlineStr">
        <is>
          <t>01 - Master Inputs  (Control Panel)</t>
        </is>
      </c>
    </row>
    <row r="2">
      <c r="A2" s="12" t="inlineStr">
        <is>
          <t>SCENARIO:</t>
        </is>
      </c>
      <c r="B2" s="13" t="inlineStr">
        <is>
          <t>Normal</t>
        </is>
      </c>
      <c r="D2" s="14" t="inlineStr">
        <is>
          <t>&lt;- Pick a scenario. Drives DAU%, Peak-Concurrent% and Spike Multiplier below via INDEX/MATCH.</t>
        </is>
      </c>
    </row>
    <row r="4" ht="18" customHeight="1">
      <c r="A4" s="2" t="inlineStr">
        <is>
          <t>A - USER METRICS</t>
        </is>
      </c>
    </row>
    <row r="5">
      <c r="A5" s="15" t="inlineStr">
        <is>
          <t>MAU</t>
        </is>
      </c>
      <c r="B5" s="16" t="n">
        <v>10000000</v>
      </c>
      <c r="D5" s="14" t="inlineStr">
        <is>
          <t>Monthly active users</t>
        </is>
      </c>
    </row>
    <row r="6">
      <c r="A6" s="15" t="inlineStr">
        <is>
          <t>DAU_PCT</t>
        </is>
      </c>
      <c r="B6" s="17">
        <f>INDEX(Scenarios!$B$2:$B$6,MATCH($B$2,Scenarios!$A$2:$A$6,0))</f>
        <v/>
      </c>
      <c r="D6" s="14" t="inlineStr">
        <is>
          <t>% of MAU active daily - driven by Scenario dropdown</t>
        </is>
      </c>
    </row>
    <row r="7">
      <c r="A7" s="15" t="inlineStr">
        <is>
          <t>PEAK_CONCURRENT_PCT</t>
        </is>
      </c>
      <c r="B7" s="17">
        <f>INDEX(Scenarios!$C$2:$C$6,MATCH($B$2,Scenarios!$A$2:$A$6,0))</f>
        <v/>
      </c>
      <c r="D7" s="14" t="inlineStr">
        <is>
          <t>% of DAU online at peak - driven by Scenario dropdown</t>
        </is>
      </c>
    </row>
    <row r="8">
      <c r="A8" s="15" t="inlineStr">
        <is>
          <t>ACTIONS_PER_SESSION</t>
        </is>
      </c>
      <c r="B8" s="16" t="n">
        <v>30</v>
      </c>
      <c r="D8" s="14" t="inlineStr">
        <is>
          <t>API calls per user session</t>
        </is>
      </c>
    </row>
    <row r="9">
      <c r="A9" s="15" t="inlineStr">
        <is>
          <t>PEAK_DURATION_SEC</t>
        </is>
      </c>
      <c r="B9" s="16" t="n">
        <v>3600</v>
      </c>
      <c r="D9" s="14" t="inlineStr">
        <is>
          <t>Window over which peak concurrency is spread</t>
        </is>
      </c>
    </row>
    <row r="10">
      <c r="A10" s="15" t="inlineStr">
        <is>
          <t>SAFETY_BUFFER</t>
        </is>
      </c>
      <c r="B10" s="16" t="n">
        <v>2</v>
      </c>
      <c r="D10" s="14" t="inlineStr">
        <is>
          <t>Multiplier applied to raw RPS for headroom</t>
        </is>
      </c>
    </row>
    <row r="12" ht="18" customHeight="1">
      <c r="A12" s="2" t="inlineStr">
        <is>
          <t>B - TRAFFIC SHAPE</t>
        </is>
      </c>
    </row>
    <row r="13">
      <c r="A13" s="15" t="inlineStr">
        <is>
          <t>READ_WRITE_SPLIT_READ_PCT</t>
        </is>
      </c>
      <c r="B13" s="16" t="n">
        <v>80</v>
      </c>
      <c r="D13" s="14" t="inlineStr">
        <is>
          <t>% of DB traffic that is reads</t>
        </is>
      </c>
    </row>
    <row r="14">
      <c r="A14" s="15" t="inlineStr">
        <is>
          <t>CACHE_HIT_PCT</t>
        </is>
      </c>
      <c r="B14" s="16" t="n">
        <v>95</v>
      </c>
      <c r="D14" s="14" t="inlineStr">
        <is>
          <t>% of reads served from Redis</t>
        </is>
      </c>
    </row>
    <row r="15">
      <c r="A15" s="15" t="inlineStr">
        <is>
          <t>QUERIES_PER_API_CALL</t>
        </is>
      </c>
      <c r="B15" s="16" t="n">
        <v>3</v>
      </c>
      <c r="D15" s="14" t="inlineStr">
        <is>
          <t>Average DB queries fired per API call</t>
        </is>
      </c>
    </row>
    <row r="16">
      <c r="A16" s="15" t="inlineStr">
        <is>
          <t>AVG_RESPONSE_SIZE_KB</t>
        </is>
      </c>
      <c r="B16" s="16" t="n">
        <v>50</v>
      </c>
      <c r="D16" s="14" t="inlineStr">
        <is>
          <t>Average API response payload</t>
        </is>
      </c>
    </row>
    <row r="17">
      <c r="A17" s="15" t="inlineStr">
        <is>
          <t>AVG_REQUEST_SIZE_KB</t>
        </is>
      </c>
      <c r="B17" s="16" t="n">
        <v>2</v>
      </c>
      <c r="D17" s="14" t="inlineStr">
        <is>
          <t>Average API request payload</t>
        </is>
      </c>
    </row>
    <row r="19" ht="18" customHeight="1">
      <c r="A19" s="2" t="inlineStr">
        <is>
          <t>C - KAFKA / MESSAGING</t>
        </is>
      </c>
    </row>
    <row r="20">
      <c r="A20" s="15" t="inlineStr">
        <is>
          <t>AVG_MSG_SIZE_KB</t>
        </is>
      </c>
      <c r="B20" s="16" t="n">
        <v>1</v>
      </c>
      <c r="D20" s="14" t="inlineStr">
        <is>
          <t>Average Kafka message size</t>
        </is>
      </c>
    </row>
    <row r="21">
      <c r="A21" s="15" t="inlineStr">
        <is>
          <t>REPLICATION_FACTOR</t>
        </is>
      </c>
      <c r="B21" s="16" t="n">
        <v>3</v>
      </c>
      <c r="D21" s="14" t="inlineStr">
        <is>
          <t>Kafka topic replication factor</t>
        </is>
      </c>
    </row>
    <row r="22">
      <c r="A22" s="15" t="inlineStr">
        <is>
          <t>PRODUCER_PER_PARTITION_MBPS</t>
        </is>
      </c>
      <c r="B22" s="16" t="n">
        <v>10</v>
      </c>
      <c r="D22" s="14" t="inlineStr">
        <is>
          <t>Max sustained producer throughput per partition</t>
        </is>
      </c>
    </row>
    <row r="23">
      <c r="A23" s="15" t="inlineStr">
        <is>
          <t>CONSUMER_PER_PARTITION_MBPS</t>
        </is>
      </c>
      <c r="B23" s="16" t="n">
        <v>5</v>
      </c>
      <c r="D23" s="14" t="inlineStr">
        <is>
          <t>Max sustained consumer throughput per partition</t>
        </is>
      </c>
    </row>
    <row r="24">
      <c r="A24" s="15" t="inlineStr">
        <is>
          <t>BROKER_CAPACITY_MBPS</t>
        </is>
      </c>
      <c r="B24" s="16" t="n">
        <v>500</v>
      </c>
      <c r="D24" s="14" t="inlineStr">
        <is>
          <t>Usable network throughput per broker</t>
        </is>
      </c>
    </row>
    <row r="25">
      <c r="A25" s="15" t="inlineStr">
        <is>
          <t>MIN_BROKERS_HA</t>
        </is>
      </c>
      <c r="B25" s="16" t="n">
        <v>3</v>
      </c>
      <c r="D25" s="14" t="inlineStr">
        <is>
          <t>Minimum brokers for HA (survive 1 failure with RF=3)</t>
        </is>
      </c>
    </row>
    <row r="26">
      <c r="A26" s="15" t="inlineStr">
        <is>
          <t>BROKER_MULTIPLE</t>
        </is>
      </c>
      <c r="B26" s="16" t="n">
        <v>6</v>
      </c>
      <c r="D26" s="14" t="inlineStr">
        <is>
          <t>Round partitions up to a multiple of this many brokers</t>
        </is>
      </c>
    </row>
    <row r="27">
      <c r="A27" s="15" t="inlineStr">
        <is>
          <t>TOPIC_RETENTION_DAYS</t>
        </is>
      </c>
      <c r="B27" s="16" t="n">
        <v>7</v>
      </c>
      <c r="D27" s="14" t="inlineStr">
        <is>
          <t>Default topic retention</t>
        </is>
      </c>
    </row>
    <row r="29" ht="18" customHeight="1">
      <c r="A29" s="2" t="inlineStr">
        <is>
          <t>D - DATABASE</t>
        </is>
      </c>
    </row>
    <row r="30">
      <c r="A30" s="15" t="inlineStr">
        <is>
          <t>DB_ROW_SIZE_KB</t>
        </is>
      </c>
      <c r="B30" s="16" t="n">
        <v>2</v>
      </c>
      <c r="D30" s="14" t="inlineStr">
        <is>
          <t>Average row size incl. overhead</t>
        </is>
      </c>
    </row>
    <row r="31">
      <c r="A31" s="15" t="inlineStr">
        <is>
          <t>DB_HOT_RETENTION_DAYS</t>
        </is>
      </c>
      <c r="B31" s="16" t="n">
        <v>30</v>
      </c>
      <c r="D31" s="14" t="inlineStr">
        <is>
          <t>Days of hot/OLTP data kept on primary</t>
        </is>
      </c>
    </row>
    <row r="32">
      <c r="A32" s="15" t="inlineStr">
        <is>
          <t>DB_CONN_MULTIPLIER</t>
        </is>
      </c>
      <c r="B32" s="16" t="n">
        <v>2</v>
      </c>
      <c r="D32" s="14" t="inlineStr">
        <is>
          <t>Connections per core multiplier</t>
        </is>
      </c>
    </row>
    <row r="33">
      <c r="A33" s="15" t="inlineStr">
        <is>
          <t>DB_CONN_OVERHEAD</t>
        </is>
      </c>
      <c r="B33" s="16" t="n">
        <v>1</v>
      </c>
      <c r="D33" s="14" t="inlineStr">
        <is>
          <t>Fixed connection overhead per instance</t>
        </is>
      </c>
    </row>
    <row r="34">
      <c r="A34" s="15" t="inlineStr">
        <is>
          <t>DB_READ_REPLICA_QPS</t>
        </is>
      </c>
      <c r="B34" s="16" t="n">
        <v>5000</v>
      </c>
      <c r="D34" s="14" t="inlineStr">
        <is>
          <t>Read QPS one replica can sustain</t>
        </is>
      </c>
    </row>
    <row r="35">
      <c r="A35" s="15" t="inlineStr">
        <is>
          <t>DB_SSD_IOPS_PER_GB</t>
        </is>
      </c>
      <c r="B35" s="16" t="n">
        <v>50</v>
      </c>
      <c r="D35" s="14" t="inlineStr">
        <is>
          <t>IOPS delivered per GB of gp3/io2 volume</t>
        </is>
      </c>
    </row>
    <row r="36">
      <c r="A36" s="15" t="inlineStr">
        <is>
          <t>DB_IOPS_PER_QUERY</t>
        </is>
      </c>
      <c r="B36" s="16" t="n">
        <v>1.2</v>
      </c>
      <c r="D36" s="14" t="inlineStr">
        <is>
          <t>Average IOPS consumed per query</t>
        </is>
      </c>
    </row>
    <row r="38" ht="18" customHeight="1">
      <c r="A38" s="2" t="inlineStr">
        <is>
          <t>E - CACHE</t>
        </is>
      </c>
    </row>
    <row r="39">
      <c r="A39" s="15" t="inlineStr">
        <is>
          <t>SESSION_SIZE_KB</t>
        </is>
      </c>
      <c r="B39" s="16" t="n">
        <v>1.5</v>
      </c>
      <c r="D39" s="14" t="inlineStr">
        <is>
          <t>Bytes per cached session</t>
        </is>
      </c>
    </row>
    <row r="40">
      <c r="A40" s="15" t="inlineStr">
        <is>
          <t>CATALOG_SKUS</t>
        </is>
      </c>
      <c r="B40" s="16" t="n">
        <v>500000</v>
      </c>
      <c r="D40" s="14" t="inlineStr">
        <is>
          <t>Total SKUs in catalog</t>
        </is>
      </c>
    </row>
    <row r="41">
      <c r="A41" s="15" t="inlineStr">
        <is>
          <t>CATALOG_ENTRY_KB</t>
        </is>
      </c>
      <c r="B41" s="16" t="n">
        <v>3</v>
      </c>
      <c r="D41" s="14" t="inlineStr">
        <is>
          <t>Cached catalog entry size</t>
        </is>
      </c>
    </row>
    <row r="42">
      <c r="A42" s="15" t="inlineStr">
        <is>
          <t>HOT_SKU_COUNT</t>
        </is>
      </c>
      <c r="B42" s="16" t="n">
        <v>100000</v>
      </c>
      <c r="D42" s="14" t="inlineStr">
        <is>
          <t>SKUs cached hot (top sellers)</t>
        </is>
      </c>
    </row>
    <row r="43">
      <c r="A43" s="15" t="inlineStr">
        <is>
          <t>HOT_SKU_ENTRY_KB</t>
        </is>
      </c>
      <c r="B43" s="16" t="n">
        <v>1</v>
      </c>
      <c r="D43" s="14" t="inlineStr">
        <is>
          <t>Hot SKU cache entry size</t>
        </is>
      </c>
    </row>
    <row r="44">
      <c r="A44" s="15" t="inlineStr">
        <is>
          <t>CACHE_OVERHEAD_FACTOR</t>
        </is>
      </c>
      <c r="B44" s="16" t="n">
        <v>1.3</v>
      </c>
      <c r="D44" s="14" t="inlineStr">
        <is>
          <t>Redis metadata/fragmentation overhead</t>
        </is>
      </c>
    </row>
    <row r="45">
      <c r="A45" s="15" t="inlineStr">
        <is>
          <t>REDIS_SHARDS</t>
        </is>
      </c>
      <c r="B45" s="16" t="n">
        <v>3</v>
      </c>
      <c r="D45" s="14" t="inlineStr">
        <is>
          <t>Cluster shard count</t>
        </is>
      </c>
    </row>
    <row r="46">
      <c r="A46" s="15" t="inlineStr">
        <is>
          <t>REDIS_HEADROOM</t>
        </is>
      </c>
      <c r="B46" s="16" t="n">
        <v>1.5</v>
      </c>
      <c r="D46" s="14" t="inlineStr">
        <is>
          <t>Headroom multiplier per shard</t>
        </is>
      </c>
    </row>
    <row r="47">
      <c r="A47" s="15" t="inlineStr">
        <is>
          <t>REDIS_OPS_PER_NODE</t>
        </is>
      </c>
      <c r="B47" s="16" t="n">
        <v>100000</v>
      </c>
      <c r="D47" s="14" t="inlineStr">
        <is>
          <t>Sustained ops/sec per Redis node</t>
        </is>
      </c>
    </row>
    <row r="49" ht="18" customHeight="1">
      <c r="A49" s="2" t="inlineStr">
        <is>
          <t>F - APPLICATION SERVERS</t>
        </is>
      </c>
    </row>
    <row r="50">
      <c r="A50" s="15" t="inlineStr">
        <is>
          <t>Cores_Per_App_Instance</t>
        </is>
      </c>
      <c r="B50" s="16" t="n">
        <v>4</v>
      </c>
      <c r="D50" s="14" t="inlineStr">
        <is>
          <t>vCPU per app pod/instance</t>
        </is>
      </c>
    </row>
    <row r="51">
      <c r="A51" s="15" t="inlineStr">
        <is>
          <t>RAM_Per_App_Instance_GB</t>
        </is>
      </c>
      <c r="B51" s="16" t="n">
        <v>8</v>
      </c>
      <c r="D51" s="14" t="inlineStr">
        <is>
          <t>RAM per app pod/instance</t>
        </is>
      </c>
    </row>
    <row r="52">
      <c r="A52" s="15" t="inlineStr">
        <is>
          <t>Order_Svc_Instances</t>
        </is>
      </c>
      <c r="B52" s="16" t="n">
        <v>6</v>
      </c>
      <c r="D52" s="14" t="inlineStr">
        <is>
          <t>Order service pod count</t>
        </is>
      </c>
    </row>
    <row r="53">
      <c r="A53" s="15" t="inlineStr">
        <is>
          <t>Payment_Svc_Instances</t>
        </is>
      </c>
      <c r="B53" s="16" t="n">
        <v>4</v>
      </c>
      <c r="D53" s="14" t="inlineStr">
        <is>
          <t>Payment service pod count</t>
        </is>
      </c>
    </row>
    <row r="54">
      <c r="A54" s="15" t="inlineStr">
        <is>
          <t>Inventory_Svc_Instances</t>
        </is>
      </c>
      <c r="B54" s="16" t="n">
        <v>4</v>
      </c>
      <c r="D54" s="14" t="inlineStr">
        <is>
          <t>Inventory service pod count</t>
        </is>
      </c>
    </row>
    <row r="55">
      <c r="A55" s="15" t="inlineStr">
        <is>
          <t>Notification_Svc_Instances</t>
        </is>
      </c>
      <c r="B55" s="16" t="n">
        <v>3</v>
      </c>
      <c r="D55" s="14" t="inlineStr">
        <is>
          <t>Notification service pod count</t>
        </is>
      </c>
    </row>
    <row r="56">
      <c r="A56" s="15" t="inlineStr">
        <is>
          <t>Search_Svc_Instances</t>
        </is>
      </c>
      <c r="B56" s="16" t="n">
        <v>3</v>
      </c>
      <c r="D56" s="14" t="inlineStr">
        <is>
          <t>Search service pod count</t>
        </is>
      </c>
    </row>
    <row r="57">
      <c r="A57" s="15" t="inlineStr">
        <is>
          <t>Gateway_Instances</t>
        </is>
      </c>
      <c r="B57" s="16" t="n">
        <v>3</v>
      </c>
      <c r="D57" s="14" t="inlineStr">
        <is>
          <t>Baseline gateway pod count (before sizing calc)</t>
        </is>
      </c>
    </row>
    <row r="58">
      <c r="A58" s="15" t="inlineStr">
        <is>
          <t>RPS_Per_App_Instance</t>
        </is>
      </c>
      <c r="B58" s="16" t="n">
        <v>2000</v>
      </c>
      <c r="D58" s="14" t="inlineStr">
        <is>
          <t>RPS one generic app instance can sustain</t>
        </is>
      </c>
    </row>
    <row r="60" ht="18" customHeight="1">
      <c r="A60" s="2" t="inlineStr">
        <is>
          <t>G - API GATEWAY / EDGE</t>
        </is>
      </c>
    </row>
    <row r="61">
      <c r="A61" s="15" t="inlineStr">
        <is>
          <t>Gateway_RPS_Capacity</t>
        </is>
      </c>
      <c r="B61" s="16" t="n">
        <v>3000</v>
      </c>
      <c r="D61" s="14" t="inlineStr">
        <is>
          <t>Max RPS a gateway node can handle at 100% CPU</t>
        </is>
      </c>
    </row>
    <row r="62">
      <c r="A62" s="15" t="inlineStr">
        <is>
          <t>Gateway_CPU_Util_Target</t>
        </is>
      </c>
      <c r="B62" s="16" t="n">
        <v>60</v>
      </c>
      <c r="D62" s="14" t="inlineStr">
        <is>
          <t>Target CPU utilization (%) for headroom</t>
        </is>
      </c>
    </row>
    <row r="63">
      <c r="A63" s="15" t="inlineStr">
        <is>
          <t>Gateway_Overhead_ms</t>
        </is>
      </c>
      <c r="B63" s="16" t="n">
        <v>3</v>
      </c>
      <c r="D63" s="14" t="inlineStr">
        <is>
          <t>Routing/auth/rate-limit overhead per request</t>
        </is>
      </c>
    </row>
    <row r="64">
      <c r="A64" s="15" t="inlineStr">
        <is>
          <t>SSL_Handshake_ms</t>
        </is>
      </c>
      <c r="B64" s="16" t="n">
        <v>5</v>
      </c>
      <c r="D64" s="14" t="inlineStr">
        <is>
          <t>Cost of a full TLS handshake</t>
        </is>
      </c>
    </row>
    <row r="65">
      <c r="A65" s="15" t="inlineStr">
        <is>
          <t>SSL_Rate_Pct</t>
        </is>
      </c>
      <c r="B65" s="16" t="n">
        <v>10</v>
      </c>
      <c r="D65" s="14" t="inlineStr">
        <is>
          <t>% of requests that pay a full handshake (rest reuse session)</t>
        </is>
      </c>
    </row>
    <row r="66">
      <c r="A66" s="15" t="inlineStr">
        <is>
          <t>WAF_Rules</t>
        </is>
      </c>
      <c r="B66" s="16" t="n">
        <v>20</v>
      </c>
      <c r="D66" s="14" t="inlineStr">
        <is>
          <t>Active WAF rule count</t>
        </is>
      </c>
    </row>
    <row r="67">
      <c r="A67" s="15" t="inlineStr">
        <is>
          <t>Rate_Limit_Anonymous_RPM</t>
        </is>
      </c>
      <c r="B67" s="16" t="n">
        <v>10</v>
      </c>
      <c r="D67" s="14" t="inlineStr">
        <is>
          <t>Requests/min allowed - anonymous</t>
        </is>
      </c>
    </row>
    <row r="68">
      <c r="A68" s="15" t="inlineStr">
        <is>
          <t>Rate_Limit_User_RPM</t>
        </is>
      </c>
      <c r="B68" s="16" t="n">
        <v>100</v>
      </c>
      <c r="D68" s="14" t="inlineStr">
        <is>
          <t>Requests/min allowed - logged-in user</t>
        </is>
      </c>
    </row>
    <row r="69">
      <c r="A69" s="15" t="inlineStr">
        <is>
          <t>Rate_Limit_Premium_RPM</t>
        </is>
      </c>
      <c r="B69" s="16" t="n">
        <v>500</v>
      </c>
      <c r="D69" s="14" t="inlineStr">
        <is>
          <t>Requests/min allowed - premium tier</t>
        </is>
      </c>
    </row>
    <row r="71" ht="18" customHeight="1">
      <c r="A71" s="2" t="inlineStr">
        <is>
          <t>H - NETWORK / LATENCY</t>
        </is>
      </c>
    </row>
    <row r="72">
      <c r="A72" s="15" t="inlineStr">
        <is>
          <t>DNS_Lookup_ms</t>
        </is>
      </c>
      <c r="B72" s="16" t="n">
        <v>5</v>
      </c>
      <c r="D72" s="14" t="inlineStr">
        <is>
          <t>DNS resolution</t>
        </is>
      </c>
    </row>
    <row r="73">
      <c r="A73" s="15" t="inlineStr">
        <is>
          <t>CDN_Edge_ms</t>
        </is>
      </c>
      <c r="B73" s="16" t="n">
        <v>10</v>
      </c>
      <c r="D73" s="14" t="inlineStr">
        <is>
          <t>Edge PoP round trip</t>
        </is>
      </c>
    </row>
    <row r="74">
      <c r="A74" s="15" t="inlineStr">
        <is>
          <t>CDN_Origin_Miss_ms</t>
        </is>
      </c>
      <c r="B74" s="16" t="n">
        <v>30</v>
      </c>
      <c r="D74" s="14" t="inlineStr">
        <is>
          <t>Extra hop to origin on cache miss</t>
        </is>
      </c>
    </row>
    <row r="75">
      <c r="A75" s="15" t="inlineStr">
        <is>
          <t>LB_Forward_ms</t>
        </is>
      </c>
      <c r="B75" s="16" t="n">
        <v>2</v>
      </c>
      <c r="D75" s="14" t="inlineStr">
        <is>
          <t>Load balancer forwarding</t>
        </is>
      </c>
    </row>
    <row r="76">
      <c r="A76" s="15" t="inlineStr">
        <is>
          <t>Service_Process_ms</t>
        </is>
      </c>
      <c r="B76" s="16" t="n">
        <v>20</v>
      </c>
      <c r="D76" s="14" t="inlineStr">
        <is>
          <t>Business-logic processing time</t>
        </is>
      </c>
    </row>
    <row r="77">
      <c r="A77" s="15" t="inlineStr">
        <is>
          <t>DB_Query_ms</t>
        </is>
      </c>
      <c r="B77" s="16" t="n">
        <v>5</v>
      </c>
      <c r="D77" s="14" t="inlineStr">
        <is>
          <t>Indexed DB query</t>
        </is>
      </c>
    </row>
    <row r="78">
      <c r="A78" s="15" t="inlineStr">
        <is>
          <t>Redis_Query_ms</t>
        </is>
      </c>
      <c r="B78" s="16" t="n">
        <v>1</v>
      </c>
      <c r="D78" s="14" t="inlineStr">
        <is>
          <t>Cache read</t>
        </is>
      </c>
    </row>
    <row r="79">
      <c r="A79" s="15" t="inlineStr">
        <is>
          <t>SLA_P95_ms</t>
        </is>
      </c>
      <c r="B79" s="16" t="n">
        <v>200</v>
      </c>
      <c r="D79" s="14" t="inlineStr">
        <is>
          <t>Target P95 latency SLA</t>
        </is>
      </c>
    </row>
    <row r="81" ht="18" customHeight="1">
      <c r="A81" s="2" t="inlineStr">
        <is>
          <t>I - DLQ / RETRY</t>
        </is>
      </c>
    </row>
    <row r="82">
      <c r="A82" s="15" t="inlineStr">
        <is>
          <t>Max_Retries</t>
        </is>
      </c>
      <c r="B82" s="16" t="n">
        <v>3</v>
      </c>
      <c r="D82" s="14" t="inlineStr">
        <is>
          <t>Retry attempts before DLQ</t>
        </is>
      </c>
    </row>
    <row r="83">
      <c r="A83" s="15" t="inlineStr">
        <is>
          <t>Retry_Backoff_Base_sec</t>
        </is>
      </c>
      <c r="B83" s="16" t="n">
        <v>5</v>
      </c>
      <c r="D83" s="14" t="inlineStr">
        <is>
          <t>First retry delay</t>
        </is>
      </c>
    </row>
    <row r="84">
      <c r="A84" s="15" t="inlineStr">
        <is>
          <t>Retry_Backoff_Multiplier</t>
        </is>
      </c>
      <c r="B84" s="16" t="n">
        <v>2</v>
      </c>
      <c r="D84" s="14" t="inlineStr">
        <is>
          <t>Exponential backoff multiplier</t>
        </is>
      </c>
    </row>
    <row r="85">
      <c r="A85" s="15" t="inlineStr">
        <is>
          <t>DLQ_Retention_Days</t>
        </is>
      </c>
      <c r="B85" s="16" t="n">
        <v>30</v>
      </c>
      <c r="D85" s="14" t="inlineStr">
        <is>
          <t>How long DLQ messages are kept</t>
        </is>
      </c>
    </row>
    <row r="86">
      <c r="A86" s="15" t="inlineStr">
        <is>
          <t>Reprocess_Batch_Size</t>
        </is>
      </c>
      <c r="B86" s="16" t="n">
        <v>1000</v>
      </c>
      <c r="D86" s="14" t="inlineStr">
        <is>
          <t>Messages replayed per batch</t>
        </is>
      </c>
    </row>
    <row r="87">
      <c r="A87" s="15" t="inlineStr">
        <is>
          <t>Reprocess_Interval_min</t>
        </is>
      </c>
      <c r="B87" s="16" t="n">
        <v>15</v>
      </c>
      <c r="D87" s="14" t="inlineStr">
        <is>
          <t>How often on-call reprocesses DLQ</t>
        </is>
      </c>
    </row>
    <row r="89" ht="18" customHeight="1">
      <c r="A89" s="2" t="inlineStr">
        <is>
          <t>J - TRAFFIC SPIKE / DDOS</t>
        </is>
      </c>
    </row>
    <row r="90">
      <c r="A90" s="15" t="inlineStr">
        <is>
          <t>Spike_Multiplier</t>
        </is>
      </c>
      <c r="B90" s="17">
        <f>INDEX(Scenarios!$D$2:$D$6,MATCH($B$2,Scenarios!$A$2:$A$6,0))</f>
        <v/>
      </c>
      <c r="D90" s="14" t="inlineStr">
        <is>
          <t>Multiplier on Peak RPS - driven by Scenario dropdown</t>
        </is>
      </c>
    </row>
    <row r="91">
      <c r="A91" s="15" t="inlineStr">
        <is>
          <t>DDoS_Peak_RPS</t>
        </is>
      </c>
      <c r="B91" s="16" t="n">
        <v>1000000</v>
      </c>
      <c r="D91" s="14" t="inlineStr">
        <is>
          <t>Assumed peak RPS during a DDoS burst</t>
        </is>
      </c>
    </row>
    <row r="92">
      <c r="A92" s="15" t="inlineStr">
        <is>
          <t>Auto_Scale_Trigger_CPU</t>
        </is>
      </c>
      <c r="B92" s="16" t="n">
        <v>70</v>
      </c>
      <c r="D92" s="14" t="inlineStr">
        <is>
          <t>CPU% that triggers HPA scale-out</t>
        </is>
      </c>
    </row>
    <row r="93">
      <c r="A93" s="15" t="inlineStr">
        <is>
          <t>Auto_Scale_Cooldown_sec</t>
        </is>
      </c>
      <c r="B93" s="16" t="n">
        <v>60</v>
      </c>
      <c r="D93" s="14" t="inlineStr">
        <is>
          <t>Cooldown before another scale event</t>
        </is>
      </c>
    </row>
    <row r="94">
      <c r="A94" s="15" t="inlineStr">
        <is>
          <t>Load_Shed_Threshold_Pct</t>
        </is>
      </c>
      <c r="B94" s="16" t="n">
        <v>90</v>
      </c>
      <c r="D94" s="14" t="inlineStr">
        <is>
          <t>% of capacity at which load shedding begins</t>
        </is>
      </c>
    </row>
    <row r="96" ht="18" customHeight="1">
      <c r="A96" s="2" t="inlineStr">
        <is>
          <t>K - OBSERVABILITY</t>
        </is>
      </c>
    </row>
    <row r="97">
      <c r="A97" s="15" t="inlineStr">
        <is>
          <t>Metrics_Retention_Days</t>
        </is>
      </c>
      <c r="B97" s="16" t="n">
        <v>15</v>
      </c>
      <c r="D97" s="14" t="inlineStr">
        <is>
          <t>Prometheus/Thanos retention</t>
        </is>
      </c>
    </row>
    <row r="98">
      <c r="A98" s="15" t="inlineStr">
        <is>
          <t>Log_Retention_Days</t>
        </is>
      </c>
      <c r="B98" s="16" t="n">
        <v>30</v>
      </c>
      <c r="D98" s="14" t="inlineStr">
        <is>
          <t>Log retention</t>
        </is>
      </c>
    </row>
    <row r="99">
      <c r="A99" s="15" t="inlineStr">
        <is>
          <t>Trace_Sample_Rate_Pct</t>
        </is>
      </c>
      <c r="B99" s="16" t="n">
        <v>1</v>
      </c>
      <c r="D99" s="14" t="inlineStr">
        <is>
          <t>% of requests traced</t>
        </is>
      </c>
    </row>
    <row r="100">
      <c r="A100" s="15" t="inlineStr">
        <is>
          <t>Log_Size_Per_Request_KB</t>
        </is>
      </c>
      <c r="B100" s="16" t="n">
        <v>2</v>
      </c>
      <c r="D100" s="14" t="inlineStr">
        <is>
          <t>Average log volume per request</t>
        </is>
      </c>
    </row>
    <row r="102" ht="18" customHeight="1">
      <c r="A102" s="2" t="inlineStr">
        <is>
          <t>L - COST (AWS us-east-1, on-demand, USD)</t>
        </is>
      </c>
    </row>
    <row r="103">
      <c r="A103" s="15" t="inlineStr">
        <is>
          <t>Cost_Broker_hr</t>
        </is>
      </c>
      <c r="B103" s="16" t="n">
        <v>0.384</v>
      </c>
      <c r="D103" s="14" t="inlineStr">
        <is>
          <t>m6i.2xlarge</t>
        </is>
      </c>
    </row>
    <row r="104">
      <c r="A104" s="15" t="inlineStr">
        <is>
          <t>Cost_App_hr</t>
        </is>
      </c>
      <c r="B104" s="16" t="n">
        <v>0.17</v>
      </c>
      <c r="D104" s="14" t="inlineStr">
        <is>
          <t>c6i.xlarge</t>
        </is>
      </c>
    </row>
    <row r="105">
      <c r="A105" s="15" t="inlineStr">
        <is>
          <t>Cost_DB_hr</t>
        </is>
      </c>
      <c r="B105" s="16" t="n">
        <v>0.504</v>
      </c>
      <c r="D105" s="14" t="inlineStr">
        <is>
          <t>r6i.2xlarge</t>
        </is>
      </c>
    </row>
    <row r="106">
      <c r="A106" s="15" t="inlineStr">
        <is>
          <t>Cost_Redis_hr</t>
        </is>
      </c>
      <c r="B106" s="16" t="n">
        <v>0.226</v>
      </c>
      <c r="D106" s="14" t="inlineStr">
        <is>
          <t>cache.r6g.xlarge</t>
        </is>
      </c>
    </row>
    <row r="107">
      <c r="A107" s="15" t="inlineStr">
        <is>
          <t>Cost_Gateway_hr</t>
        </is>
      </c>
      <c r="B107" s="16" t="n">
        <v>0.17</v>
      </c>
      <c r="D107" s="14" t="inlineStr">
        <is>
          <t>c6i.xlarge</t>
        </is>
      </c>
    </row>
    <row r="108">
      <c r="A108" s="15" t="inlineStr">
        <is>
          <t>Cost_NLB_hr</t>
        </is>
      </c>
      <c r="B108" s="16" t="n">
        <v>0.0225</v>
      </c>
      <c r="D108" s="14" t="inlineStr">
        <is>
          <t>Network Load Balancer</t>
        </is>
      </c>
    </row>
    <row r="109">
      <c r="A109" s="15" t="inlineStr">
        <is>
          <t>Cost_Hours_Month</t>
        </is>
      </c>
      <c r="B109" s="16" t="n">
        <v>730</v>
      </c>
      <c r="D109" s="14" t="inlineStr">
        <is>
          <t>Hours per month</t>
        </is>
      </c>
    </row>
    <row r="110">
      <c r="A110" s="15" t="inlineStr">
        <is>
          <t>Cost_Egress_Per_GB</t>
        </is>
      </c>
      <c r="B110" s="16" t="n">
        <v>0.09</v>
      </c>
      <c r="D110" s="14" t="inlineStr">
        <is>
          <t>Internet egress</t>
        </is>
      </c>
    </row>
    <row r="111">
      <c r="A111" s="15" t="inlineStr">
        <is>
          <t>Cost_S3_Per_TB</t>
        </is>
      </c>
      <c r="B111" s="16" t="n">
        <v>23</v>
      </c>
      <c r="D111" s="14" t="inlineStr">
        <is>
          <t>S3 standard storage</t>
        </is>
      </c>
    </row>
    <row r="112">
      <c r="A112" s="15" t="inlineStr">
        <is>
          <t>Cost_CDN_Per_GB</t>
        </is>
      </c>
      <c r="B112" s="16" t="n">
        <v>0.08500000000000001</v>
      </c>
      <c r="D112" s="14" t="inlineStr">
        <is>
          <t>CloudFront/CDN egress</t>
        </is>
      </c>
    </row>
  </sheetData>
  <mergeCells count="100">
    <mergeCell ref="D20:E20"/>
    <mergeCell ref="D100:E100"/>
    <mergeCell ref="A1:E1"/>
    <mergeCell ref="D84:E84"/>
    <mergeCell ref="D22:E22"/>
    <mergeCell ref="D36:E36"/>
    <mergeCell ref="D31:E31"/>
    <mergeCell ref="D45:E45"/>
    <mergeCell ref="D6:E6"/>
    <mergeCell ref="D77:E77"/>
    <mergeCell ref="D108:E108"/>
    <mergeCell ref="D86:E86"/>
    <mergeCell ref="D13:E13"/>
    <mergeCell ref="D61:E61"/>
    <mergeCell ref="A89:E89"/>
    <mergeCell ref="D7:E7"/>
    <mergeCell ref="D72:E72"/>
    <mergeCell ref="D78:E78"/>
    <mergeCell ref="D112:E112"/>
    <mergeCell ref="A71:E71"/>
    <mergeCell ref="D62:E62"/>
    <mergeCell ref="D56:E56"/>
    <mergeCell ref="D24:E24"/>
    <mergeCell ref="D64:E64"/>
    <mergeCell ref="D33:E33"/>
    <mergeCell ref="D98:E98"/>
    <mergeCell ref="D73:E73"/>
    <mergeCell ref="D51:E51"/>
    <mergeCell ref="D26:E26"/>
    <mergeCell ref="D35:E35"/>
    <mergeCell ref="D10:E10"/>
    <mergeCell ref="D34:E34"/>
    <mergeCell ref="D90:E90"/>
    <mergeCell ref="A49:E49"/>
    <mergeCell ref="D99:E99"/>
    <mergeCell ref="D2:E2"/>
    <mergeCell ref="D76:E76"/>
    <mergeCell ref="D66:E66"/>
    <mergeCell ref="D75:E75"/>
    <mergeCell ref="D53:E53"/>
    <mergeCell ref="D47:E47"/>
    <mergeCell ref="A12:E12"/>
    <mergeCell ref="D103:E103"/>
    <mergeCell ref="D9:E9"/>
    <mergeCell ref="D39:E39"/>
    <mergeCell ref="A29:E29"/>
    <mergeCell ref="A4:E4"/>
    <mergeCell ref="A81:E81"/>
    <mergeCell ref="A38:E38"/>
    <mergeCell ref="A96:E96"/>
    <mergeCell ref="D15:E15"/>
    <mergeCell ref="D23:E23"/>
    <mergeCell ref="D79:E79"/>
    <mergeCell ref="D63:E63"/>
    <mergeCell ref="A60:E60"/>
    <mergeCell ref="D65:E65"/>
    <mergeCell ref="D105:E105"/>
    <mergeCell ref="D52:E52"/>
    <mergeCell ref="D27:E27"/>
    <mergeCell ref="D107:E107"/>
    <mergeCell ref="D17:E17"/>
    <mergeCell ref="D91:E91"/>
    <mergeCell ref="D106:E106"/>
    <mergeCell ref="D93:E93"/>
    <mergeCell ref="D25:E25"/>
    <mergeCell ref="D83:E83"/>
    <mergeCell ref="D92:E92"/>
    <mergeCell ref="D55:E55"/>
    <mergeCell ref="D30:E30"/>
    <mergeCell ref="D67:E67"/>
    <mergeCell ref="D5:E5"/>
    <mergeCell ref="D14:E14"/>
    <mergeCell ref="D85:E85"/>
    <mergeCell ref="D54:E54"/>
    <mergeCell ref="D94:E94"/>
    <mergeCell ref="D69:E69"/>
    <mergeCell ref="D109:E109"/>
    <mergeCell ref="D46:E46"/>
    <mergeCell ref="D40:E40"/>
    <mergeCell ref="D111:E111"/>
    <mergeCell ref="D21:E21"/>
    <mergeCell ref="D104:E104"/>
    <mergeCell ref="D57:E57"/>
    <mergeCell ref="D32:E32"/>
    <mergeCell ref="D41:E41"/>
    <mergeCell ref="D97:E97"/>
    <mergeCell ref="D16:E16"/>
    <mergeCell ref="D87:E87"/>
    <mergeCell ref="D43:E43"/>
    <mergeCell ref="D58:E58"/>
    <mergeCell ref="D8:E8"/>
    <mergeCell ref="D74:E74"/>
    <mergeCell ref="D68:E68"/>
    <mergeCell ref="D42:E42"/>
    <mergeCell ref="D82:E82"/>
    <mergeCell ref="A19:E19"/>
    <mergeCell ref="A102:E102"/>
    <mergeCell ref="D50:E50"/>
    <mergeCell ref="D110:E110"/>
    <mergeCell ref="D44:E44"/>
  </mergeCells>
  <dataValidations count="1">
    <dataValidation sqref="B2" showDropDown="0" showInputMessage="0" showErrorMessage="0" allowBlank="0" type="list">
      <formula1>"Normal,Flash Sale,Black Friday,Cyber Monday,DDoS"</formula1>
    </dataValidation>
  </dataValidation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E15"/>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2" customWidth="1" min="5" max="5"/>
  </cols>
  <sheetData>
    <row r="1" ht="26" customHeight="1">
      <c r="A1" s="1" t="inlineStr">
        <is>
          <t>02 - User Metrics  (MAU -&gt; DAU -&gt; PCU -&gt; RPS)</t>
        </is>
      </c>
    </row>
    <row r="3" ht="20" customHeight="1">
      <c r="A3" s="18" t="inlineStr">
        <is>
          <t>Step</t>
        </is>
      </c>
      <c r="B3" s="18" t="inlineStr">
        <is>
          <t>Formula (human-readable)</t>
        </is>
      </c>
      <c r="C3" s="18" t="inlineStr">
        <is>
          <t>Live Calculation</t>
        </is>
      </c>
      <c r="D3" s="18" t="inlineStr">
        <is>
          <t>Result</t>
        </is>
      </c>
      <c r="E3" s="18" t="inlineStr">
        <is>
          <t>Derivation Notes</t>
        </is>
      </c>
    </row>
    <row r="4">
      <c r="A4" s="19" t="inlineStr">
        <is>
          <t>1. DAU</t>
        </is>
      </c>
      <c r="B4" s="20" t="inlineStr">
        <is>
          <t>MAU * DAU_PCT/100</t>
        </is>
      </c>
      <c r="C4" s="21">
        <f>MAU*DAU_PCT/100</f>
        <v/>
      </c>
      <c r="D4" s="22">
        <f>C4</f>
        <v/>
      </c>
      <c r="E4" s="23" t="inlineStr">
        <is>
          <t>Daily active users</t>
        </is>
      </c>
    </row>
    <row r="5">
      <c r="A5" s="19" t="inlineStr">
        <is>
          <t>2. Peak Concurrent Users (PCU)</t>
        </is>
      </c>
      <c r="B5" s="20" t="inlineStr">
        <is>
          <t>DAU * PEAK_CONCURRENT_PCT/100</t>
        </is>
      </c>
      <c r="C5" s="21">
        <f>DAU*PEAK_CONCURRENT_PCT/100</f>
        <v/>
      </c>
      <c r="D5" s="22">
        <f>C5</f>
        <v/>
      </c>
      <c r="E5" s="23" t="inlineStr">
        <is>
          <t>Users online simultaneously at peak</t>
        </is>
      </c>
    </row>
    <row r="6">
      <c r="A6" s="19" t="inlineStr">
        <is>
          <t>3. Raw API RPS</t>
        </is>
      </c>
      <c r="B6" s="20" t="inlineStr">
        <is>
          <t>(PCU * ACTIONS_PER_SESSION) / PEAK_DURATION_SEC</t>
        </is>
      </c>
      <c r="C6" s="24">
        <f>PCU*ACTIONS_PER_SESSION/PEAK_DURATION_SEC</f>
        <v/>
      </c>
      <c r="D6" s="25">
        <f>C6</f>
        <v/>
      </c>
      <c r="E6" s="23" t="inlineStr">
        <is>
          <t>Unbuffered request rate</t>
        </is>
      </c>
    </row>
    <row r="7">
      <c r="A7" s="19" t="inlineStr">
        <is>
          <t>4. Peak API RPS</t>
        </is>
      </c>
      <c r="B7" s="20" t="inlineStr">
        <is>
          <t>Raw RPS * SAFETY_BUFFER</t>
        </is>
      </c>
      <c r="C7" s="21">
        <f>Raw_RPS*SAFETY_BUFFER</f>
        <v/>
      </c>
      <c r="D7" s="22">
        <f>C7</f>
        <v/>
      </c>
      <c r="E7" s="23" t="inlineStr">
        <is>
          <t>This is the anchor number for every downstream sheet</t>
        </is>
      </c>
    </row>
    <row r="8">
      <c r="A8" s="19" t="inlineStr">
        <is>
          <t>5. Daily Requests</t>
        </is>
      </c>
      <c r="B8" s="20" t="inlineStr">
        <is>
          <t>DAU * ACTIONS_PER_SESSION</t>
        </is>
      </c>
      <c r="C8" s="24">
        <f>DAU*ACTIONS_PER_SESSION</f>
        <v/>
      </c>
      <c r="D8" s="25">
        <f>C8</f>
        <v/>
      </c>
      <c r="E8" s="23" t="inlineStr"/>
    </row>
    <row r="9">
      <c r="A9" s="19" t="inlineStr">
        <is>
          <t>6. Monthly Requests</t>
        </is>
      </c>
      <c r="B9" s="20" t="inlineStr">
        <is>
          <t>Daily Requests * 30</t>
        </is>
      </c>
      <c r="C9" s="24">
        <f>Daily_Requests*30</f>
        <v/>
      </c>
      <c r="D9" s="25">
        <f>C9</f>
        <v/>
      </c>
      <c r="E9" s="23" t="inlineStr"/>
    </row>
    <row r="10">
      <c r="A10" s="19" t="inlineStr">
        <is>
          <t>7. Peak Bandwidth (MB/s)</t>
        </is>
      </c>
      <c r="B10" s="20" t="inlineStr">
        <is>
          <t>Peak RPS * AVG_RESPONSE_SIZE_KB / 1024</t>
        </is>
      </c>
      <c r="C10" s="24">
        <f>Peak_RPS*AVG_RESPONSE_SIZE_KB/1024</f>
        <v/>
      </c>
      <c r="D10" s="25">
        <f>C10</f>
        <v/>
      </c>
      <c r="E10" s="23" t="inlineStr"/>
    </row>
    <row r="11">
      <c r="A11" s="19" t="inlineStr">
        <is>
          <t>8. Peak Bandwidth (Gbps)</t>
        </is>
      </c>
      <c r="B11" s="20" t="inlineStr">
        <is>
          <t>MB/s * 8 / 1000</t>
        </is>
      </c>
      <c r="C11" s="24">
        <f>Peak_Bandwidth_MBps*8/1000</f>
        <v/>
      </c>
      <c r="D11" s="25">
        <f>C11</f>
        <v/>
      </c>
      <c r="E11" s="23" t="inlineStr"/>
    </row>
    <row r="12">
      <c r="A12" s="19" t="inlineStr">
        <is>
          <t>9. Daily Egress (GB)</t>
        </is>
      </c>
      <c r="B12" s="20" t="inlineStr">
        <is>
          <t>Daily Requests * AVG_RESPONSE_SIZE_KB / 1024 / 1024</t>
        </is>
      </c>
      <c r="C12" s="24">
        <f>Daily_Requests*AVG_RESPONSE_SIZE_KB/1024/1024</f>
        <v/>
      </c>
      <c r="D12" s="25">
        <f>C12</f>
        <v/>
      </c>
      <c r="E12" s="23" t="inlineStr"/>
    </row>
    <row r="13">
      <c r="A13" s="19" t="inlineStr">
        <is>
          <t>10. Monthly Egress (TB)</t>
        </is>
      </c>
      <c r="B13" s="20" t="inlineStr">
        <is>
          <t>Daily Egress GB * 30 / 1024</t>
        </is>
      </c>
      <c r="C13" s="21">
        <f>Daily_Egress_GB*30/1024</f>
        <v/>
      </c>
      <c r="D13" s="22">
        <f>C13</f>
        <v/>
      </c>
      <c r="E13" s="23" t="inlineStr">
        <is>
          <t>Feeds CDN + cost sheets</t>
        </is>
      </c>
    </row>
    <row r="15" ht="60" customHeight="1">
      <c r="A15" s="26" t="inlineStr">
        <is>
          <t>🎤 INTERVIEW TALK TRACK:  Assuming 10M MAU and a 20% DAU ratio, we get 2M DAU. During peak, 20% are online simultaneously -- that's 400k concurrent. Each user makes 30 calls, so raw RPS is about 3.3k, and with a 2x safety buffer we anchor on roughly 7k RPS. Every downstream sizing decision in this workbook traces back to that one number.</t>
        </is>
      </c>
    </row>
  </sheetData>
  <mergeCells count="2">
    <mergeCell ref="A15:E15"/>
    <mergeCell ref="A1:E1"/>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0"/>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2" customWidth="1" min="5" max="5"/>
  </cols>
  <sheetData>
    <row r="1" ht="26" customHeight="1">
      <c r="A1" s="1" t="inlineStr">
        <is>
          <t>03 - Frontend &amp; CDN</t>
        </is>
      </c>
    </row>
    <row r="3" ht="18" customHeight="1">
      <c r="A3" s="2" t="inlineStr">
        <is>
          <t>ASSUMPTIONS</t>
        </is>
      </c>
    </row>
    <row r="4">
      <c r="A4" s="11" t="inlineStr">
        <is>
          <t>Static_Asset_MB_Per_User</t>
        </is>
      </c>
      <c r="B4" s="4" t="n">
        <v>2</v>
      </c>
      <c r="D4" s="14" t="inlineStr">
        <is>
          <t>MB of static assets (JS/CSS/images) per user per day</t>
        </is>
      </c>
    </row>
    <row r="5">
      <c r="A5" s="11" t="inlineStr">
        <is>
          <t>CDN_Cache_Hit_Ratio_Pct</t>
        </is>
      </c>
      <c r="B5" s="4" t="n">
        <v>98</v>
      </c>
      <c r="D5" s="14" t="inlineStr">
        <is>
          <t>% of static requests served at the edge</t>
        </is>
      </c>
    </row>
    <row r="6">
      <c r="A6" s="11" t="inlineStr">
        <is>
          <t>Edge_Node_Capacity_RPS</t>
        </is>
      </c>
      <c r="B6" s="4" t="n">
        <v>5000</v>
      </c>
      <c r="D6" s="14" t="inlineStr">
        <is>
          <t>RPS one edge PoP can serve</t>
        </is>
      </c>
    </row>
    <row r="7">
      <c r="A7" s="11" t="inlineStr">
        <is>
          <t>CDN_PoPs_Global</t>
        </is>
      </c>
      <c r="B7" s="4" t="n">
        <v>200</v>
      </c>
      <c r="D7" s="14" t="inlineStr">
        <is>
          <t>Number of global CDN PoPs</t>
        </is>
      </c>
    </row>
    <row r="8">
      <c r="A8" s="11" t="inlineStr">
        <is>
          <t>Compression_Reduction_Pct</t>
        </is>
      </c>
      <c r="B8" s="4" t="n">
        <v>70</v>
      </c>
      <c r="D8" s="14" t="inlineStr">
        <is>
          <t>Bandwidth reduction from HTTP/3 + Brotli</t>
        </is>
      </c>
    </row>
    <row r="9">
      <c r="A9" s="11" t="inlineStr">
        <is>
          <t>Service_Worker_Hit_Pct</t>
        </is>
      </c>
      <c r="B9" s="4" t="n">
        <v>40</v>
      </c>
      <c r="D9" s="14" t="inlineStr">
        <is>
          <t>% of repeat users served from local SW cache</t>
        </is>
      </c>
    </row>
    <row r="11" ht="20" customHeight="1">
      <c r="A11" s="18" t="inlineStr">
        <is>
          <t>Step</t>
        </is>
      </c>
      <c r="B11" s="18" t="inlineStr">
        <is>
          <t>Formula (human-readable)</t>
        </is>
      </c>
      <c r="C11" s="18" t="inlineStr">
        <is>
          <t>Live Calculation</t>
        </is>
      </c>
      <c r="D11" s="18" t="inlineStr">
        <is>
          <t>Result</t>
        </is>
      </c>
      <c r="E11" s="18" t="inlineStr">
        <is>
          <t>Derivation Notes</t>
        </is>
      </c>
    </row>
    <row r="12">
      <c r="A12" s="19" t="inlineStr">
        <is>
          <t>1. Total Static Data/day (GB)</t>
        </is>
      </c>
      <c r="B12" s="20" t="inlineStr">
        <is>
          <t>DAU * Static_Asset_MB_Per_User / 1024</t>
        </is>
      </c>
      <c r="C12" s="24">
        <f>DAU*Static_Asset_MB_Per_User/1024</f>
        <v/>
      </c>
      <c r="D12" s="25">
        <f>C12</f>
        <v/>
      </c>
      <c r="E12" s="23" t="inlineStr"/>
    </row>
    <row r="13">
      <c r="A13" s="19" t="inlineStr">
        <is>
          <t>2. Origin Traffic/day (GB)</t>
        </is>
      </c>
      <c r="B13" s="20" t="inlineStr">
        <is>
          <t>Total * (1 - CDN_Cache_Hit_Ratio_Pct/100)</t>
        </is>
      </c>
      <c r="C13" s="21">
        <f>C12*(1-CDN_Cache_Hit_Ratio_Pct/100)</f>
        <v/>
      </c>
      <c r="D13" s="22">
        <f>C13</f>
        <v/>
      </c>
      <c r="E13" s="23" t="inlineStr">
        <is>
          <t>What actually reaches origin</t>
        </is>
      </c>
    </row>
    <row r="14">
      <c r="A14" s="19" t="inlineStr">
        <is>
          <t>3. Required Edge Nodes</t>
        </is>
      </c>
      <c r="B14" s="20" t="inlineStr">
        <is>
          <t>ROUNDUP(Peak RPS / Edge_Node_Capacity_RPS, 0)</t>
        </is>
      </c>
      <c r="C14" s="24">
        <f>ROUNDUP(Peak_RPS/Edge_Node_Capacity_RPS,0)</f>
        <v/>
      </c>
      <c r="D14" s="25">
        <f>C14</f>
        <v/>
      </c>
      <c r="E14" s="23" t="inlineStr"/>
    </row>
    <row r="15">
      <c r="A15" s="19" t="inlineStr">
        <is>
          <t>4. CDN Bandwidth Peak (Gbps)</t>
        </is>
      </c>
      <c r="B15" s="20" t="inlineStr">
        <is>
          <t>Peak RPS * 2MB * 8 / 1024 / 1000</t>
        </is>
      </c>
      <c r="C15" s="24">
        <f>Peak_RPS*Static_Asset_MB_Per_User*8/1024/1000</f>
        <v/>
      </c>
      <c r="D15" s="25">
        <f>C15</f>
        <v/>
      </c>
      <c r="E15" s="23" t="inlineStr"/>
    </row>
    <row r="16">
      <c r="A16" s="19" t="inlineStr">
        <is>
          <t>5. Effective Bandwidth after compression (Gbps)</t>
        </is>
      </c>
      <c r="B16" s="20" t="inlineStr">
        <is>
          <t>Peak Gbps * (1 - Compression_Reduction_Pct/100)</t>
        </is>
      </c>
      <c r="C16" s="21">
        <f>C15*(1-Compression_Reduction_Pct/100)</f>
        <v/>
      </c>
      <c r="D16" s="22">
        <f>C16</f>
        <v/>
      </c>
      <c r="E16" s="23" t="inlineStr">
        <is>
          <t>HTTP/3 + Brotli</t>
        </is>
      </c>
    </row>
    <row r="17">
      <c r="A17" s="19" t="inlineStr">
        <is>
          <t>6. Service-Worker-Absorbed Requests/s</t>
        </is>
      </c>
      <c r="B17" s="20" t="inlineStr">
        <is>
          <t>Peak RPS * Service_Worker_Hit_Pct/100</t>
        </is>
      </c>
      <c r="C17" s="24">
        <f>Peak_RPS*Service_Worker_Hit_Pct/100</f>
        <v/>
      </c>
      <c r="D17" s="25">
        <f>C17</f>
        <v/>
      </c>
      <c r="E17" s="23" t="inlineStr">
        <is>
          <t>Never leaves the browser</t>
        </is>
      </c>
    </row>
    <row r="18">
      <c r="A18" s="19" t="inlineStr">
        <is>
          <t>7. Origin-Bound Dynamic RPS</t>
        </is>
      </c>
      <c r="B18" s="20" t="inlineStr">
        <is>
          <t>Peak RPS * (1 - CDN_Cache_Hit_Ratio_Pct/100)</t>
        </is>
      </c>
      <c r="C18" s="21">
        <f>Peak_RPS*(1-CDN_Cache_Hit_Ratio_Pct/100)</f>
        <v/>
      </c>
      <c r="D18" s="22">
        <f>C18</f>
        <v/>
      </c>
      <c r="E18" s="23" t="inlineStr">
        <is>
          <t>This is what the gateway must actually absorb</t>
        </is>
      </c>
    </row>
    <row r="20" ht="60" customHeight="1">
      <c r="A20" s="26" t="inlineStr">
        <is>
          <t>🎤 INTERVIEW TALK TRACK:  98% of static traffic never reaches our origin. For 7k peak RPS, the origin only sees about 140 RPS of dynamic API traffic. The CDN handles the rest across 200+ global PoPs -- that's why our gateway is sized for thousands of RPS, not hundreds of thousands.</t>
        </is>
      </c>
    </row>
  </sheetData>
  <mergeCells count="9">
    <mergeCell ref="D8:E8"/>
    <mergeCell ref="D6:E6"/>
    <mergeCell ref="D7:E7"/>
    <mergeCell ref="A20:E20"/>
    <mergeCell ref="D5:E5"/>
    <mergeCell ref="A1:E1"/>
    <mergeCell ref="D4:E4"/>
    <mergeCell ref="D9:E9"/>
    <mergeCell ref="A3:E3"/>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E46"/>
  <sheetViews>
    <sheetView workbookViewId="0">
      <selection activeCell="A1" sqref="A1"/>
    </sheetView>
  </sheetViews>
  <sheetFormatPr baseColWidth="8" defaultRowHeight="15"/>
  <cols>
    <col width="32" customWidth="1" min="1" max="1"/>
    <col width="44" customWidth="1" min="2" max="2"/>
    <col width="20" customWidth="1" min="3" max="3"/>
    <col width="16" customWidth="1" min="4" max="4"/>
    <col width="42" customWidth="1" min="5" max="5"/>
  </cols>
  <sheetData>
    <row r="1" ht="26" customHeight="1">
      <c r="A1" s="1" t="inlineStr">
        <is>
          <t>04 - API Gateway &amp; Edge</t>
        </is>
      </c>
    </row>
    <row r="3" ht="18" customHeight="1">
      <c r="A3" s="2" t="inlineStr">
        <is>
          <t>A. SIZING</t>
        </is>
      </c>
    </row>
    <row r="4" ht="20" customHeight="1">
      <c r="A4" s="18" t="inlineStr">
        <is>
          <t>Step</t>
        </is>
      </c>
      <c r="B4" s="18" t="inlineStr">
        <is>
          <t>Formula (human-readable)</t>
        </is>
      </c>
      <c r="C4" s="18" t="inlineStr">
        <is>
          <t>Live Calculation</t>
        </is>
      </c>
      <c r="D4" s="18" t="inlineStr">
        <is>
          <t>Result</t>
        </is>
      </c>
      <c r="E4" s="18" t="inlineStr">
        <is>
          <t>Derivation Notes</t>
        </is>
      </c>
    </row>
    <row r="5">
      <c r="A5" s="19" t="inlineStr">
        <is>
          <t>1. Effective RPS/instance</t>
        </is>
      </c>
      <c r="B5" s="20" t="inlineStr">
        <is>
          <t>Gateway_RPS_Capacity * Gateway_CPU_Util_Target/100</t>
        </is>
      </c>
      <c r="C5" s="24">
        <f>Gateway_RPS_Capacity*Gateway_CPU_Util_Target/100</f>
        <v/>
      </c>
      <c r="D5" s="25">
        <f>C5</f>
        <v/>
      </c>
      <c r="E5" s="23" t="inlineStr"/>
    </row>
    <row r="6">
      <c r="A6" s="19" t="inlineStr">
        <is>
          <t>2. Raw Gateway Instances</t>
        </is>
      </c>
      <c r="B6" s="20" t="inlineStr">
        <is>
          <t>ROUNDUP(Peak RPS / Effective RPS, 0)</t>
        </is>
      </c>
      <c r="C6" s="24">
        <f>ROUNDUP(Peak_RPS/Gateway_Effective_RPS,0)</f>
        <v/>
      </c>
      <c r="D6" s="25">
        <f>C6</f>
        <v/>
      </c>
      <c r="E6" s="23" t="inlineStr"/>
    </row>
    <row r="7">
      <c r="A7" s="19" t="inlineStr">
        <is>
          <t>3. Availability Zones</t>
        </is>
      </c>
      <c r="B7" s="20" t="inlineStr">
        <is>
          <t>Fixed</t>
        </is>
      </c>
      <c r="C7" s="27">
        <f>3</f>
        <v/>
      </c>
      <c r="D7" s="28">
        <f>C7</f>
        <v/>
      </c>
      <c r="E7" s="23" t="inlineStr">
        <is>
          <t>Multi-AZ standard</t>
        </is>
      </c>
    </row>
    <row r="8">
      <c r="A8" s="19" t="inlineStr">
        <is>
          <t>4. Per-AZ Instances (N+1)</t>
        </is>
      </c>
      <c r="B8" s="20" t="inlineStr">
        <is>
          <t>ROUNDUP(Raw / Zones, 0) + 1</t>
        </is>
      </c>
      <c r="C8" s="24">
        <f>ROUNDUP(C6/Gateway_AZs,0)+1</f>
        <v/>
      </c>
      <c r="D8" s="25">
        <f>C8</f>
        <v/>
      </c>
      <c r="E8" s="23" t="inlineStr"/>
    </row>
    <row r="9">
      <c r="A9" s="19" t="inlineStr">
        <is>
          <t>5. Total Gateway Instances (sized)</t>
        </is>
      </c>
      <c r="B9" s="20" t="inlineStr">
        <is>
          <t>Per-AZ * Zones</t>
        </is>
      </c>
      <c r="C9" s="21">
        <f>C8*Gateway_AZs</f>
        <v/>
      </c>
      <c r="D9" s="22">
        <f>C9</f>
        <v/>
      </c>
      <c r="E9" s="23" t="inlineStr">
        <is>
          <t>Use this, not Gateway_Instances input, for downstream cost/capacity</t>
        </is>
      </c>
    </row>
    <row r="10">
      <c r="A10" s="19" t="inlineStr">
        <is>
          <t>6. Gateway Latency Added (ms)</t>
        </is>
      </c>
      <c r="B10" s="20" t="inlineStr">
        <is>
          <t>Gateway_Overhead_ms + SSL_Handshake_ms*SSL_Rate_Pct/100</t>
        </is>
      </c>
      <c r="C10" s="21">
        <f>Gateway_Overhead_ms+SSL_Handshake_ms*SSL_Rate_Pct/100</f>
        <v/>
      </c>
      <c r="D10" s="22">
        <f>C10</f>
        <v/>
      </c>
      <c r="E10" s="23" t="inlineStr"/>
    </row>
    <row r="11">
      <c r="A11" s="19" t="inlineStr">
        <is>
          <t>7. Gateway CPU Cores Total</t>
        </is>
      </c>
      <c r="B11" s="20" t="inlineStr">
        <is>
          <t>Total Instances * Cores_Per_App_Instance</t>
        </is>
      </c>
      <c r="C11" s="24">
        <f>Gateway_Instances_Sized*Cores_Per_App_Instance</f>
        <v/>
      </c>
      <c r="D11" s="25">
        <f>C11</f>
        <v/>
      </c>
      <c r="E11" s="23" t="inlineStr"/>
    </row>
    <row r="13" ht="18" customHeight="1">
      <c r="A13" s="2" t="inlineStr">
        <is>
          <t>B. RATE LIMITING</t>
        </is>
      </c>
    </row>
    <row r="14" ht="20" customHeight="1">
      <c r="A14" s="18" t="inlineStr">
        <is>
          <t>Step</t>
        </is>
      </c>
      <c r="B14" s="18" t="inlineStr">
        <is>
          <t>Formula (human-readable)</t>
        </is>
      </c>
      <c r="C14" s="18" t="inlineStr">
        <is>
          <t>Live Calculation</t>
        </is>
      </c>
      <c r="D14" s="18" t="inlineStr">
        <is>
          <t>Result</t>
        </is>
      </c>
      <c r="E14" s="18" t="inlineStr">
        <is>
          <t>Derivation Notes</t>
        </is>
      </c>
    </row>
    <row r="15">
      <c r="A15" s="19" t="inlineStr">
        <is>
          <t>8. Rate-Limit Redis Ops/s</t>
        </is>
      </c>
      <c r="B15" s="20" t="inlineStr">
        <is>
          <t>Peak RPS * 2 (INCR + EXPIRE)</t>
        </is>
      </c>
      <c r="C15" s="24">
        <f>Peak_RPS*2</f>
        <v/>
      </c>
      <c r="D15" s="25">
        <f>C15</f>
        <v/>
      </c>
      <c r="E15" s="23" t="inlineStr"/>
    </row>
    <row r="16">
      <c r="A16" s="19" t="inlineStr">
        <is>
          <t>9. Rate-Limit Memory (MB)</t>
        </is>
      </c>
      <c r="B16" s="20" t="inlineStr">
        <is>
          <t>DAU * 200 bytes / 1024 / 1024</t>
        </is>
      </c>
      <c r="C16" s="24">
        <f>DAU*200/1024/1024</f>
        <v/>
      </c>
      <c r="D16" s="25">
        <f>C16</f>
        <v/>
      </c>
      <c r="E16" s="23" t="inlineStr"/>
    </row>
    <row r="17">
      <c r="A17" s="19" t="inlineStr">
        <is>
          <t>10. Estimated Reject % (DDoS signal)</t>
        </is>
      </c>
      <c r="B17" s="20" t="inlineStr">
        <is>
          <t>0.5% of peak</t>
        </is>
      </c>
      <c r="C17" s="27">
        <f>0.5</f>
        <v/>
      </c>
      <c r="D17" s="28">
        <f>C17</f>
        <v/>
      </c>
      <c r="E17" s="23" t="inlineStr">
        <is>
          <t>Fixed heuristic</t>
        </is>
      </c>
    </row>
    <row r="19" ht="20" customHeight="1">
      <c r="A19" s="29" t="inlineStr">
        <is>
          <t>Tier</t>
        </is>
      </c>
      <c r="B19" s="29" t="inlineStr">
        <is>
          <t>RPM</t>
        </is>
      </c>
      <c r="C19" s="29" t="inlineStr">
        <is>
          <t>Burst</t>
        </is>
      </c>
      <c r="D19" s="29" t="inlineStr">
        <is>
          <t>Storage</t>
        </is>
      </c>
      <c r="E19" s="29" t="inlineStr">
        <is>
          <t>Algorithm</t>
        </is>
      </c>
    </row>
    <row r="20">
      <c r="A20" s="15" t="inlineStr">
        <is>
          <t>Anonymous</t>
        </is>
      </c>
      <c r="B20" s="15">
        <f>Rate_Limit_Anonymous_RPM</f>
        <v/>
      </c>
      <c r="C20" s="15" t="inlineStr">
        <is>
          <t>10x</t>
        </is>
      </c>
      <c r="D20" s="15" t="inlineStr">
        <is>
          <t>In-memory + Redis</t>
        </is>
      </c>
      <c r="E20" s="15" t="inlineStr">
        <is>
          <t>Fixed window</t>
        </is>
      </c>
    </row>
    <row r="21">
      <c r="A21" s="15" t="inlineStr">
        <is>
          <t>Logged-in User</t>
        </is>
      </c>
      <c r="B21" s="15">
        <f>Rate_Limit_User_RPM</f>
        <v/>
      </c>
      <c r="C21" s="15" t="inlineStr">
        <is>
          <t>5x</t>
        </is>
      </c>
      <c r="D21" s="15" t="inlineStr">
        <is>
          <t>Redis</t>
        </is>
      </c>
      <c r="E21" s="15" t="inlineStr">
        <is>
          <t>Sliding window</t>
        </is>
      </c>
    </row>
    <row r="22">
      <c r="A22" s="15" t="inlineStr">
        <is>
          <t>Premium</t>
        </is>
      </c>
      <c r="B22" s="15">
        <f>Rate_Limit_Premium_RPM</f>
        <v/>
      </c>
      <c r="C22" s="15" t="inlineStr">
        <is>
          <t>3x</t>
        </is>
      </c>
      <c r="D22" s="15" t="inlineStr">
        <is>
          <t>Redis</t>
        </is>
      </c>
      <c r="E22" s="15" t="inlineStr">
        <is>
          <t>Sliding window</t>
        </is>
      </c>
    </row>
    <row r="23">
      <c r="A23" s="15" t="inlineStr">
        <is>
          <t>Internal Service</t>
        </is>
      </c>
      <c r="B23" s="15" t="inlineStr">
        <is>
          <t>N/A - mTLS trusted</t>
        </is>
      </c>
      <c r="C23" s="15" t="inlineStr">
        <is>
          <t>N/A</t>
        </is>
      </c>
      <c r="D23" s="15" t="inlineStr">
        <is>
          <t>N/A</t>
        </is>
      </c>
      <c r="E23" s="15" t="inlineStr">
        <is>
          <t>None (mesh-level)</t>
        </is>
      </c>
    </row>
    <row r="25" ht="18" customHeight="1">
      <c r="A25" s="2" t="inlineStr">
        <is>
          <t>C. AUTH</t>
        </is>
      </c>
    </row>
    <row r="26" ht="20" customHeight="1">
      <c r="A26" s="18" t="inlineStr">
        <is>
          <t>Step</t>
        </is>
      </c>
      <c r="B26" s="18" t="inlineStr">
        <is>
          <t>Formula (human-readable)</t>
        </is>
      </c>
      <c r="C26" s="18" t="inlineStr">
        <is>
          <t>Live Calculation</t>
        </is>
      </c>
      <c r="D26" s="18" t="inlineStr">
        <is>
          <t>Result</t>
        </is>
      </c>
      <c r="E26" s="18" t="inlineStr">
        <is>
          <t>Derivation Notes</t>
        </is>
      </c>
    </row>
    <row r="27">
      <c r="A27" s="19" t="inlineStr">
        <is>
          <t>11. JWT Verify Ops/s</t>
        </is>
      </c>
      <c r="B27" s="20" t="inlineStr">
        <is>
          <t>Equals Peak RPS</t>
        </is>
      </c>
      <c r="C27" s="24">
        <f>Peak_RPS</f>
        <v/>
      </c>
      <c r="D27" s="25">
        <f>C27</f>
        <v/>
      </c>
      <c r="E27" s="23" t="inlineStr"/>
    </row>
    <row r="28">
      <c r="A28" s="19" t="inlineStr">
        <is>
          <t>12. JWT CPU Cost (cores)</t>
        </is>
      </c>
      <c r="B28" s="20" t="inlineStr">
        <is>
          <t>Peak RPS * 0.5ms / 1000</t>
        </is>
      </c>
      <c r="C28" s="24">
        <f>Peak_RPS*0.5/1000</f>
        <v/>
      </c>
      <c r="D28" s="25">
        <f>C28</f>
        <v/>
      </c>
      <c r="E28" s="23" t="inlineStr"/>
    </row>
    <row r="29">
      <c r="A29" s="19" t="inlineStr">
        <is>
          <t>13. JWT Public Key Cache (KB)</t>
        </is>
      </c>
      <c r="B29" s="20" t="inlineStr">
        <is>
          <t>Static</t>
        </is>
      </c>
      <c r="C29" s="27">
        <f>1</f>
        <v/>
      </c>
      <c r="D29" s="28">
        <f>C29</f>
        <v/>
      </c>
      <c r="E29" s="23" t="inlineStr">
        <is>
          <t>JWKS cached at edge</t>
        </is>
      </c>
    </row>
    <row r="31" ht="18" customHeight="1">
      <c r="A31" s="2" t="inlineStr">
        <is>
          <t>D. RESILIENCE (info)</t>
        </is>
      </c>
    </row>
    <row r="32" ht="20" customHeight="1">
      <c r="A32" s="29" t="inlineStr">
        <is>
          <t>Backend</t>
        </is>
      </c>
      <c r="B32" s="29" t="inlineStr">
        <is>
          <t>Error % Threshold</t>
        </is>
      </c>
      <c r="C32" s="29" t="inlineStr">
        <is>
          <t>Window (s)</t>
        </is>
      </c>
      <c r="D32" s="29" t="inlineStr">
        <is>
          <t>Open Duration (s)</t>
        </is>
      </c>
      <c r="E32" s="29" t="inlineStr">
        <is>
          <t>Half-Open Probes</t>
        </is>
      </c>
    </row>
    <row r="33">
      <c r="A33" s="30" t="inlineStr">
        <is>
          <t>Order Service</t>
        </is>
      </c>
      <c r="B33" s="30" t="n">
        <v>50</v>
      </c>
      <c r="C33" s="30" t="n">
        <v>10</v>
      </c>
      <c r="D33" s="30" t="n">
        <v>30</v>
      </c>
      <c r="E33" s="30" t="n">
        <v>1</v>
      </c>
    </row>
    <row r="34">
      <c r="A34" s="30" t="inlineStr">
        <is>
          <t>Payment Service</t>
        </is>
      </c>
      <c r="B34" s="30" t="n">
        <v>25</v>
      </c>
      <c r="C34" s="30" t="n">
        <v>10</v>
      </c>
      <c r="D34" s="30" t="n">
        <v>60</v>
      </c>
      <c r="E34" s="30" t="n">
        <v>1</v>
      </c>
    </row>
    <row r="35">
      <c r="A35" s="30" t="inlineStr">
        <is>
          <t>Inventory Service</t>
        </is>
      </c>
      <c r="B35" s="30" t="n">
        <v>50</v>
      </c>
      <c r="C35" s="30" t="n">
        <v>10</v>
      </c>
      <c r="D35" s="30" t="n">
        <v>30</v>
      </c>
      <c r="E35" s="30" t="n">
        <v>2</v>
      </c>
    </row>
    <row r="36">
      <c r="A36" s="30" t="inlineStr">
        <is>
          <t>Search Service</t>
        </is>
      </c>
      <c r="B36" s="30" t="n">
        <v>70</v>
      </c>
      <c r="C36" s="30" t="n">
        <v>10</v>
      </c>
      <c r="D36" s="30" t="n">
        <v>15</v>
      </c>
      <c r="E36" s="30" t="n">
        <v>3</v>
      </c>
    </row>
    <row r="38">
      <c r="A38" s="14" t="inlineStr">
        <is>
          <t>Bulkhead: max 100 concurrent calls per backend.  Timeouts: connect=3s, read=10s, total=15s.</t>
        </is>
      </c>
    </row>
    <row r="40" ht="18" customHeight="1">
      <c r="A40" s="2" t="inlineStr">
        <is>
          <t>E. REAL-TIME</t>
        </is>
      </c>
    </row>
    <row r="41" ht="20" customHeight="1">
      <c r="A41" s="18" t="inlineStr">
        <is>
          <t>Step</t>
        </is>
      </c>
      <c r="B41" s="18" t="inlineStr">
        <is>
          <t>Formula (human-readable)</t>
        </is>
      </c>
      <c r="C41" s="18" t="inlineStr">
        <is>
          <t>Live Calculation</t>
        </is>
      </c>
      <c r="D41" s="18" t="inlineStr">
        <is>
          <t>Result</t>
        </is>
      </c>
      <c r="E41" s="18" t="inlineStr">
        <is>
          <t>Derivation Notes</t>
        </is>
      </c>
    </row>
    <row r="42">
      <c r="A42" s="19" t="inlineStr">
        <is>
          <t>18. WebSocket Concurrent (order tracking)</t>
        </is>
      </c>
      <c r="B42" s="20" t="inlineStr">
        <is>
          <t>PCU * 5%</t>
        </is>
      </c>
      <c r="C42" s="24">
        <f>PCU*0.05</f>
        <v/>
      </c>
      <c r="D42" s="25">
        <f>C42</f>
        <v/>
      </c>
      <c r="E42" s="23" t="inlineStr"/>
    </row>
    <row r="43">
      <c r="A43" s="19" t="inlineStr">
        <is>
          <t>19. SSE Concurrent (price updates)</t>
        </is>
      </c>
      <c r="B43" s="20" t="inlineStr">
        <is>
          <t>PCU * 10%</t>
        </is>
      </c>
      <c r="C43" s="24">
        <f>PCU*0.10</f>
        <v/>
      </c>
      <c r="D43" s="25">
        <f>C43</f>
        <v/>
      </c>
      <c r="E43" s="23" t="inlineStr"/>
    </row>
    <row r="44">
      <c r="A44" s="19" t="inlineStr">
        <is>
          <t>20. WS Memory (MB)</t>
        </is>
      </c>
      <c r="B44" s="20" t="inlineStr">
        <is>
          <t>Concurrent * 64KB / 1024</t>
        </is>
      </c>
      <c r="C44" s="21">
        <f>C42*64/1024</f>
        <v/>
      </c>
      <c r="D44" s="22">
        <f>C44</f>
        <v/>
      </c>
      <c r="E44" s="23" t="inlineStr"/>
    </row>
    <row r="46" ht="60" customHeight="1">
      <c r="A46" s="26" t="inlineStr">
        <is>
          <t>🎤 INTERVIEW TALK TRACK:  For 7k RPS, effective capacity per gateway is 1,800 RPS at 60% CPU -- that's 4 raw instances, and with N+1 per AZ across 3 AZs we run about 9 gateway pods. Gateway adds roughly 3.5ms of latency. Rate limiting runs on Redis token buckets -- 100 req/min for logged-in users, 10x that as burst.</t>
        </is>
      </c>
    </row>
  </sheetData>
  <mergeCells count="8">
    <mergeCell ref="A38:E38"/>
    <mergeCell ref="A25:E25"/>
    <mergeCell ref="A1:E1"/>
    <mergeCell ref="A46:E46"/>
    <mergeCell ref="A13:E13"/>
    <mergeCell ref="A31:E31"/>
    <mergeCell ref="A40:E40"/>
    <mergeCell ref="A3:E3"/>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E13"/>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2" customWidth="1" min="5" max="5"/>
  </cols>
  <sheetData>
    <row r="1" ht="26" customHeight="1">
      <c r="A1" s="1" t="inlineStr">
        <is>
          <t>05 - Load Balancer</t>
        </is>
      </c>
    </row>
    <row r="3" ht="20" customHeight="1">
      <c r="A3" s="18" t="inlineStr">
        <is>
          <t>Step</t>
        </is>
      </c>
      <c r="B3" s="18" t="inlineStr">
        <is>
          <t>Formula (human-readable)</t>
        </is>
      </c>
      <c r="C3" s="18" t="inlineStr">
        <is>
          <t>Live Calculation</t>
        </is>
      </c>
      <c r="D3" s="18" t="inlineStr">
        <is>
          <t>Result</t>
        </is>
      </c>
      <c r="E3" s="18" t="inlineStr">
        <is>
          <t>Derivation Notes</t>
        </is>
      </c>
    </row>
    <row r="4">
      <c r="A4" s="19" t="inlineStr">
        <is>
          <t>1. LB Type</t>
        </is>
      </c>
      <c r="B4" s="20" t="inlineStr">
        <is>
          <t>NLB(L4, TLS passthrough) + ALB(L7, HTTP routing)</t>
        </is>
      </c>
      <c r="C4" s="21">
        <f>"NLB (L4) + ALB (L7)"</f>
        <v/>
      </c>
      <c r="D4" s="22">
        <f>C4</f>
        <v/>
      </c>
      <c r="E4" s="23" t="inlineStr">
        <is>
          <t>Two-tier: NLB absorbs TLS/SYN, ALB does path routing</t>
        </is>
      </c>
    </row>
    <row r="5">
      <c r="A5" s="19" t="inlineStr">
        <is>
          <t>2. LB Instances</t>
        </is>
      </c>
      <c r="B5" s="20" t="inlineStr">
        <is>
          <t>Active-active multi-AZ</t>
        </is>
      </c>
      <c r="C5" s="27">
        <f>2</f>
        <v/>
      </c>
      <c r="D5" s="28">
        <f>C5</f>
        <v/>
      </c>
      <c r="E5" s="23" t="inlineStr"/>
    </row>
    <row r="6">
      <c r="A6" s="19" t="inlineStr">
        <is>
          <t>3. Concurrent Connections</t>
        </is>
      </c>
      <c r="B6" s="20" t="inlineStr">
        <is>
          <t>Peak RPS * 2 (keep-alive ratio)</t>
        </is>
      </c>
      <c r="C6" s="24">
        <f>Peak_RPS*2</f>
        <v/>
      </c>
      <c r="D6" s="25">
        <f>C6</f>
        <v/>
      </c>
      <c r="E6" s="23" t="inlineStr"/>
    </row>
    <row r="7">
      <c r="A7" s="19" t="inlineStr">
        <is>
          <t>4. TLS Handshakes/sec</t>
        </is>
      </c>
      <c r="B7" s="20" t="inlineStr">
        <is>
          <t>Peak RPS * SSL_Rate_Pct/100</t>
        </is>
      </c>
      <c r="C7" s="24">
        <f>Peak_RPS*SSL_Rate_Pct/100</f>
        <v/>
      </c>
      <c r="D7" s="25">
        <f>C7</f>
        <v/>
      </c>
      <c r="E7" s="23" t="inlineStr"/>
    </row>
    <row r="8">
      <c r="A8" s="19" t="inlineStr">
        <is>
          <t>5. LB Latency Added (ms)</t>
        </is>
      </c>
      <c r="B8" s="20" t="inlineStr">
        <is>
          <t>Fixed</t>
        </is>
      </c>
      <c r="C8" s="21">
        <f>LB_Forward_ms</f>
        <v/>
      </c>
      <c r="D8" s="22">
        <f>C8</f>
        <v/>
      </c>
      <c r="E8" s="23" t="inlineStr"/>
    </row>
    <row r="9">
      <c r="A9" s="19" t="inlineStr">
        <is>
          <t>6. Health Check Interval (s)</t>
        </is>
      </c>
      <c r="B9" s="20" t="inlineStr">
        <is>
          <t>Fixed policy</t>
        </is>
      </c>
      <c r="C9" s="27">
        <f>5</f>
        <v/>
      </c>
      <c r="D9" s="28">
        <f>C9</f>
        <v/>
      </c>
      <c r="E9" s="23" t="inlineStr">
        <is>
          <t>3 consecutive failures = ejected</t>
        </is>
      </c>
    </row>
    <row r="10">
      <c r="A10" s="19" t="inlineStr">
        <is>
          <t>7. Sticky Session TTL (min)</t>
        </is>
      </c>
      <c r="B10" s="20" t="inlineStr">
        <is>
          <t>WebSocket only</t>
        </is>
      </c>
      <c r="C10" s="27">
        <f>5</f>
        <v/>
      </c>
      <c r="D10" s="28">
        <f>C10</f>
        <v/>
      </c>
      <c r="E10" s="23" t="inlineStr"/>
    </row>
    <row r="11">
      <c r="A11" s="19" t="inlineStr">
        <is>
          <t>8. Connection Draining (s)</t>
        </is>
      </c>
      <c r="B11" s="20" t="inlineStr">
        <is>
          <t>On scale-down</t>
        </is>
      </c>
      <c r="C11" s="27">
        <f>30</f>
        <v/>
      </c>
      <c r="D11" s="28">
        <f>C11</f>
        <v/>
      </c>
      <c r="E11" s="23" t="inlineStr"/>
    </row>
    <row r="13" ht="60" customHeight="1">
      <c r="A13" s="26" t="inlineStr">
        <is>
          <t>🎤 INTERVIEW TALK TRACK:  We terminate TLS at the NLB for pass-through performance and route at L7 with an ALB for path-based rules. Two nodes active-active across AZs; health checks eject a backend after 3 failed probes; WebSocket connections get 5-minute sticky sessions so order-tracking sockets survive rebalancing.</t>
        </is>
      </c>
    </row>
  </sheetData>
  <mergeCells count="2">
    <mergeCell ref="A1:E1"/>
    <mergeCell ref="A13:E13"/>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G16"/>
  <sheetViews>
    <sheetView workbookViewId="0">
      <selection activeCell="A1" sqref="A1"/>
    </sheetView>
  </sheetViews>
  <sheetFormatPr baseColWidth="8" defaultRowHeight="15"/>
  <cols>
    <col width="22" customWidth="1" min="1" max="1"/>
    <col width="12" customWidth="1" min="2" max="2"/>
    <col width="10" customWidth="1" min="3" max="3"/>
    <col width="10" customWidth="1" min="4" max="4"/>
    <col width="16" customWidth="1" min="5" max="5"/>
    <col width="16" customWidth="1" min="6" max="6"/>
    <col width="40" customWidth="1" min="7" max="7"/>
  </cols>
  <sheetData>
    <row r="1" ht="26" customHeight="1">
      <c r="A1" s="1" t="inlineStr">
        <is>
          <t>06 - Backend Services</t>
        </is>
      </c>
    </row>
    <row r="3" ht="20" customHeight="1">
      <c r="A3" s="29" t="inlineStr">
        <is>
          <t>Service</t>
        </is>
      </c>
      <c r="B3" s="29" t="inlineStr">
        <is>
          <t>Instances</t>
        </is>
      </c>
      <c r="C3" s="29" t="inlineStr">
        <is>
          <t>Cores</t>
        </is>
      </c>
      <c r="D3" s="29" t="inlineStr">
        <is>
          <t>RAM(GB)</t>
        </is>
      </c>
      <c r="E3" s="29" t="inlineStr">
        <is>
          <t>RPS Cap/Inst</t>
        </is>
      </c>
      <c r="F3" s="29" t="inlineStr">
        <is>
          <t>Total RPS Cap</t>
        </is>
      </c>
      <c r="G3" s="29" t="inlineStr">
        <is>
          <t>Notes</t>
        </is>
      </c>
    </row>
    <row r="4">
      <c r="A4" s="30" t="inlineStr">
        <is>
          <t>API Gateway</t>
        </is>
      </c>
      <c r="B4" s="31">
        <f>Gateway_Instances_Sized</f>
        <v/>
      </c>
      <c r="C4" s="30" t="n">
        <v>4</v>
      </c>
      <c r="D4" s="30" t="n">
        <v>8</v>
      </c>
      <c r="E4" s="30" t="n">
        <v>3000</v>
      </c>
      <c r="F4" s="32">
        <f>B4*E4</f>
        <v/>
      </c>
      <c r="G4" s="5" t="inlineStr">
        <is>
          <t>Rate limit, auth, routing</t>
        </is>
      </c>
    </row>
    <row r="5">
      <c r="A5" s="30" t="inlineStr">
        <is>
          <t>Order Service</t>
        </is>
      </c>
      <c r="B5" s="31">
        <f>Order_Svc_Instances</f>
        <v/>
      </c>
      <c r="C5" s="30" t="n">
        <v>4</v>
      </c>
      <c r="D5" s="30" t="n">
        <v>8</v>
      </c>
      <c r="E5" s="30" t="n">
        <v>2000</v>
      </c>
      <c r="F5" s="32">
        <f>B5*E5</f>
        <v/>
      </c>
      <c r="G5" s="5" t="inlineStr">
        <is>
          <t>Outbox pattern, Kafka producer</t>
        </is>
      </c>
    </row>
    <row r="6">
      <c r="A6" s="30" t="inlineStr">
        <is>
          <t>Payment Service</t>
        </is>
      </c>
      <c r="B6" s="31">
        <f>Payment_Svc_Instances</f>
        <v/>
      </c>
      <c r="C6" s="30" t="n">
        <v>4</v>
      </c>
      <c r="D6" s="30" t="n">
        <v>8</v>
      </c>
      <c r="E6" s="30" t="n">
        <v>1500</v>
      </c>
      <c r="F6" s="32">
        <f>B6*E6</f>
        <v/>
      </c>
      <c r="G6" s="5" t="inlineStr">
        <is>
          <t>Idempotent, PCI-scoped zone</t>
        </is>
      </c>
    </row>
    <row r="7">
      <c r="A7" s="30" t="inlineStr">
        <is>
          <t>Inventory Service</t>
        </is>
      </c>
      <c r="B7" s="31">
        <f>Inventory_Svc_Instances</f>
        <v/>
      </c>
      <c r="C7" s="30" t="n">
        <v>4</v>
      </c>
      <c r="D7" s="30" t="n">
        <v>8</v>
      </c>
      <c r="E7" s="30" t="n">
        <v>2500</v>
      </c>
      <c r="F7" s="32">
        <f>B7*E7</f>
        <v/>
      </c>
      <c r="G7" s="5" t="inlineStr">
        <is>
          <t>Cache-heavy, Redis-backed</t>
        </is>
      </c>
    </row>
    <row r="8">
      <c r="A8" s="30" t="inlineStr">
        <is>
          <t>Notification Service</t>
        </is>
      </c>
      <c r="B8" s="31">
        <f>Notification_Svc_Instances</f>
        <v/>
      </c>
      <c r="C8" s="30" t="n">
        <v>2</v>
      </c>
      <c r="D8" s="30" t="n">
        <v>4</v>
      </c>
      <c r="E8" s="30" t="n">
        <v>5000</v>
      </c>
      <c r="F8" s="32">
        <f>B8*E8</f>
        <v/>
      </c>
      <c r="G8" s="5" t="inlineStr">
        <is>
          <t>Async, Kafka consumer</t>
        </is>
      </c>
    </row>
    <row r="9">
      <c r="A9" s="30" t="inlineStr">
        <is>
          <t>Search Service</t>
        </is>
      </c>
      <c r="B9" s="31">
        <f>Search_Svc_Instances</f>
        <v/>
      </c>
      <c r="C9" s="30" t="n">
        <v>4</v>
      </c>
      <c r="D9" s="30" t="n">
        <v>16</v>
      </c>
      <c r="E9" s="30" t="n">
        <v>1500</v>
      </c>
      <c r="F9" s="32">
        <f>B9*E9</f>
        <v/>
      </c>
      <c r="G9" s="5" t="inlineStr">
        <is>
          <t>Elasticsearch facade</t>
        </is>
      </c>
    </row>
    <row r="10">
      <c r="A10" s="7" t="inlineStr">
        <is>
          <t>TOTAL</t>
        </is>
      </c>
      <c r="B10" s="7">
        <f>SUM(B4:B9)</f>
        <v/>
      </c>
      <c r="C10" s="7">
        <f>SUMPRODUCT(B4:B9,C4:C9)</f>
        <v/>
      </c>
      <c r="D10" s="7">
        <f>SUMPRODUCT(B4:B9,D4:D9)</f>
        <v/>
      </c>
      <c r="E10" s="32" t="n"/>
      <c r="F10" s="7">
        <f>SUM(F4:F9)</f>
        <v/>
      </c>
      <c r="G10" s="32" t="n"/>
    </row>
    <row r="12" ht="20" customHeight="1">
      <c r="A12" s="18" t="inlineStr">
        <is>
          <t>Step</t>
        </is>
      </c>
      <c r="B12" s="18" t="inlineStr">
        <is>
          <t>Formula (human-readable)</t>
        </is>
      </c>
      <c r="C12" s="18" t="inlineStr">
        <is>
          <t>Live Calculation</t>
        </is>
      </c>
      <c r="D12" s="18" t="inlineStr">
        <is>
          <t>Result</t>
        </is>
      </c>
      <c r="E12" s="18" t="inlineStr">
        <is>
          <t>Derivation Notes</t>
        </is>
      </c>
    </row>
    <row r="13">
      <c r="A13" s="19" t="inlineStr">
        <is>
          <t>Headroom %</t>
        </is>
      </c>
      <c r="B13" s="20" t="inlineStr">
        <is>
          <t>(Total RPS Cap / Peak RPS - 1) * 100</t>
        </is>
      </c>
      <c r="C13" s="21">
        <f>(Total_RPS_Capacity/Peak_RPS-1)*100</f>
        <v/>
      </c>
      <c r="D13" s="22">
        <f>C13</f>
        <v/>
      </c>
      <c r="E13" s="23" t="inlineStr">
        <is>
          <t>WARNING if &lt; 50%</t>
        </is>
      </c>
    </row>
    <row r="14">
      <c r="A14" s="19" t="inlineStr">
        <is>
          <t>Headroom Status</t>
        </is>
      </c>
      <c r="B14" s="20" t="inlineStr">
        <is>
          <t>IF(Headroom&lt;50,"WARNING - THIN","OK")</t>
        </is>
      </c>
      <c r="C14" s="33">
        <f>IF(C13&lt;50,"WARNING - THIN","OK")</f>
        <v/>
      </c>
      <c r="D14" s="34">
        <f>C14</f>
        <v/>
      </c>
      <c r="E14" s="23" t="inlineStr"/>
    </row>
    <row r="16" ht="60" customHeight="1">
      <c r="A16" s="26" t="inlineStr">
        <is>
          <t>🎤 INTERVIEW TALK TRACK:  Twenty-plus pods across five services plus the gateway give us roughly 3x headroom over peak RPS -- enough to absorb a single-AZ failure without falling over. Payment stays isolated in its own PCI-scoped namespace; inventory is the cache-heaviest service so it gets extra Redis connection budget.</t>
        </is>
      </c>
    </row>
  </sheetData>
  <mergeCells count="2">
    <mergeCell ref="A16:E16"/>
    <mergeCell ref="A1:G1"/>
  </mergeCells>
  <conditionalFormatting sqref="C14:D14">
    <cfRule type="cellIs" priority="1" operator="equal" dxfId="0">
      <formula>"OK"</formula>
    </cfRule>
    <cfRule type="cellIs" priority="2" operator="notEqual" dxfId="1">
      <formula>"OK"</formula>
    </cfRule>
  </conditionalFormatting>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5"/>
  <sheetViews>
    <sheetView workbookViewId="0">
      <selection activeCell="A1" sqref="A1"/>
    </sheetView>
  </sheetViews>
  <sheetFormatPr baseColWidth="8" defaultRowHeight="15"/>
  <cols>
    <col width="30" customWidth="1" min="1" max="1"/>
    <col width="16" customWidth="1" min="2" max="2"/>
    <col width="16" customWidth="1" min="3" max="3"/>
    <col width="14" customWidth="1" min="4" max="4"/>
    <col width="34" customWidth="1" min="5" max="5"/>
  </cols>
  <sheetData>
    <row r="1" ht="26" customHeight="1">
      <c r="A1" s="1" t="inlineStr">
        <is>
          <t>07 - Network Latency (Hop-by-Hop Budget)</t>
        </is>
      </c>
    </row>
    <row r="3" ht="20" customHeight="1">
      <c r="A3" s="29" t="inlineStr">
        <is>
          <t>Hop</t>
        </is>
      </c>
      <c r="B3" s="29" t="inlineStr">
        <is>
          <t>Latency (ms)</t>
        </is>
      </c>
      <c r="C3" s="29" t="inlineStr">
        <is>
          <t>Cumulative (ms)</t>
        </is>
      </c>
      <c r="D3" s="29" t="inlineStr">
        <is>
          <t>% of Budget</t>
        </is>
      </c>
      <c r="E3" s="29" t="inlineStr">
        <is>
          <t>Notes</t>
        </is>
      </c>
    </row>
    <row r="4">
      <c r="A4" s="30" t="inlineStr">
        <is>
          <t>Client -&gt; DNS</t>
        </is>
      </c>
      <c r="B4" s="31">
        <f>DNS_Lookup_ms</f>
        <v/>
      </c>
      <c r="C4" s="31">
        <f>B4</f>
        <v/>
      </c>
      <c r="D4" s="35">
        <f>C4/$C$15</f>
        <v/>
      </c>
      <c r="E4" s="5" t="inlineStr">
        <is>
          <t>DNS resolution, cached after first hit</t>
        </is>
      </c>
    </row>
    <row r="5">
      <c r="A5" s="30" t="inlineStr">
        <is>
          <t>DNS -&gt; CDN PoP</t>
        </is>
      </c>
      <c r="B5" s="31">
        <f>CDN_Edge_ms</f>
        <v/>
      </c>
      <c r="C5" s="31">
        <f>C4+B5</f>
        <v/>
      </c>
      <c r="D5" s="35">
        <f>C5/$C$15</f>
        <v/>
      </c>
      <c r="E5" s="5" t="inlineStr">
        <is>
          <t>Anycast routing to nearest edge</t>
        </is>
      </c>
    </row>
    <row r="6">
      <c r="A6" s="30" t="inlineStr">
        <is>
          <t>CDN -&gt; Origin (on miss)</t>
        </is>
      </c>
      <c r="B6" s="31">
        <f>CDN_Origin_Miss_ms</f>
        <v/>
      </c>
      <c r="C6" s="31">
        <f>C5+B6</f>
        <v/>
      </c>
      <c r="D6" s="35">
        <f>C6/$C$15</f>
        <v/>
      </c>
      <c r="E6" s="5" t="inlineStr">
        <is>
          <t>Only ~2% of requests (cache miss)</t>
        </is>
      </c>
    </row>
    <row r="7">
      <c r="A7" s="30" t="inlineStr">
        <is>
          <t>Origin -&gt; LB</t>
        </is>
      </c>
      <c r="B7" s="31">
        <f>LB_Forward_ms</f>
        <v/>
      </c>
      <c r="C7" s="31">
        <f>C6+B7</f>
        <v/>
      </c>
      <c r="D7" s="35">
        <f>C7/$C$15</f>
        <v/>
      </c>
      <c r="E7" s="5" t="inlineStr">
        <is>
          <t>TCP handoff</t>
        </is>
      </c>
    </row>
    <row r="8">
      <c r="A8" s="30" t="inlineStr">
        <is>
          <t>LB -&gt; API Gateway</t>
        </is>
      </c>
      <c r="B8" s="31">
        <f>LB_Forward_ms</f>
        <v/>
      </c>
      <c r="C8" s="31">
        <f>C7+B8</f>
        <v/>
      </c>
      <c r="D8" s="35">
        <f>C8/$C$15</f>
        <v/>
      </c>
      <c r="E8" s="5" t="inlineStr">
        <is>
          <t>mTLS inside VPC</t>
        </is>
      </c>
    </row>
    <row r="9">
      <c r="A9" s="30" t="inlineStr">
        <is>
          <t>Gateway (JWT + RL + route)</t>
        </is>
      </c>
      <c r="B9" s="31">
        <f>Gateway_Latency_ms</f>
        <v/>
      </c>
      <c r="C9" s="31">
        <f>C8+B9</f>
        <v/>
      </c>
      <c r="D9" s="35">
        <f>C9/$C$15</f>
        <v/>
      </c>
      <c r="E9" s="5" t="inlineStr">
        <is>
          <t>Auth + rate-limit + routing</t>
        </is>
      </c>
    </row>
    <row r="10">
      <c r="A10" s="30" t="inlineStr">
        <is>
          <t>Gateway -&gt; Service</t>
        </is>
      </c>
      <c r="B10" s="31">
        <f>1</f>
        <v/>
      </c>
      <c r="C10" s="31">
        <f>C9+B10</f>
        <v/>
      </c>
      <c r="D10" s="35">
        <f>C10/$C$15</f>
        <v/>
      </c>
      <c r="E10" s="5" t="inlineStr">
        <is>
          <t>Service mesh sidecar hop</t>
        </is>
      </c>
    </row>
    <row r="11">
      <c r="A11" s="30" t="inlineStr">
        <is>
          <t>Service processing</t>
        </is>
      </c>
      <c r="B11" s="31">
        <f>Service_Process_ms</f>
        <v/>
      </c>
      <c r="C11" s="31">
        <f>C10+B11</f>
        <v/>
      </c>
      <c r="D11" s="35">
        <f>C11/$C$15</f>
        <v/>
      </c>
      <c r="E11" s="5" t="inlineStr">
        <is>
          <t>Business logic</t>
        </is>
      </c>
    </row>
    <row r="12">
      <c r="A12" s="30" t="inlineStr">
        <is>
          <t>Service -&gt; Redis</t>
        </is>
      </c>
      <c r="B12" s="31">
        <f>Redis_Query_ms</f>
        <v/>
      </c>
      <c r="C12" s="31">
        <f>C11+B12</f>
        <v/>
      </c>
      <c r="D12" s="35">
        <f>C12/$C$15</f>
        <v/>
      </c>
      <c r="E12" s="5" t="inlineStr">
        <is>
          <t>Cache read</t>
        </is>
      </c>
    </row>
    <row r="13">
      <c r="A13" s="30" t="inlineStr">
        <is>
          <t>Service -&gt; PostgreSQL</t>
        </is>
      </c>
      <c r="B13" s="31">
        <f>DB_Query_ms</f>
        <v/>
      </c>
      <c r="C13" s="31">
        <f>C12+B13</f>
        <v/>
      </c>
      <c r="D13" s="35">
        <f>C13/$C$15</f>
        <v/>
      </c>
      <c r="E13" s="5" t="inlineStr">
        <is>
          <t>Indexed query</t>
        </is>
      </c>
    </row>
    <row r="14">
      <c r="A14" s="30" t="inlineStr">
        <is>
          <t>Service -&gt; Response</t>
        </is>
      </c>
      <c r="B14" s="31">
        <f>1</f>
        <v/>
      </c>
      <c r="C14" s="31">
        <f>C13+B14</f>
        <v/>
      </c>
      <c r="D14" s="35">
        <f>C14/$C$15</f>
        <v/>
      </c>
      <c r="E14" s="5" t="inlineStr">
        <is>
          <t>Serialize JSON</t>
        </is>
      </c>
    </row>
    <row r="15">
      <c r="A15" s="30" t="inlineStr">
        <is>
          <t>Reverse path (LB, CDN)</t>
        </is>
      </c>
      <c r="B15" s="31">
        <f>5</f>
        <v/>
      </c>
      <c r="C15" s="31">
        <f>C14+B15</f>
        <v/>
      </c>
      <c r="D15" s="35">
        <f>C15/$C$15</f>
        <v/>
      </c>
      <c r="E15" s="5" t="inlineStr">
        <is>
          <t>Response traverses back</t>
        </is>
      </c>
    </row>
    <row r="17" ht="20" customHeight="1">
      <c r="A17" s="18" t="inlineStr">
        <is>
          <t>Step</t>
        </is>
      </c>
      <c r="B17" s="18" t="inlineStr">
        <is>
          <t>Formula (human-readable)</t>
        </is>
      </c>
      <c r="C17" s="18" t="inlineStr">
        <is>
          <t>Live Calculation</t>
        </is>
      </c>
      <c r="D17" s="18" t="inlineStr">
        <is>
          <t>Result</t>
        </is>
      </c>
      <c r="E17" s="18" t="inlineStr">
        <is>
          <t>Derivation Notes</t>
        </is>
      </c>
    </row>
    <row r="18">
      <c r="A18" s="19" t="inlineStr">
        <is>
          <t>Uncached Path P50 (ms)</t>
        </is>
      </c>
      <c r="B18" s="20" t="inlineStr">
        <is>
          <t>SUM of all hops (incl. origin miss + DB)</t>
        </is>
      </c>
      <c r="C18" s="21">
        <f>SUM(B4:B15)</f>
        <v/>
      </c>
      <c r="D18" s="22">
        <f>C18</f>
        <v/>
      </c>
      <c r="E18" s="23" t="inlineStr">
        <is>
          <t>Full round trip on a cache miss</t>
        </is>
      </c>
    </row>
    <row r="19">
      <c r="A19" s="19" t="inlineStr">
        <is>
          <t>Cached Path P50 (ms)</t>
        </is>
      </c>
      <c r="B19" s="20" t="inlineStr">
        <is>
          <t>Uncached minus CDN-origin-miss and DB-query hops</t>
        </is>
      </c>
      <c r="C19" s="21">
        <f>C18-CDN_Origin_Miss_ms-DB_Query_ms</f>
        <v/>
      </c>
      <c r="D19" s="22">
        <f>C19</f>
        <v/>
      </c>
      <c r="E19" s="23" t="inlineStr">
        <is>
          <t>CDN + Redis hit path</t>
        </is>
      </c>
    </row>
    <row r="20">
      <c r="A20" s="19" t="inlineStr">
        <is>
          <t>Blended P50 (ms)</t>
        </is>
      </c>
      <c r="B20" s="20" t="inlineStr">
        <is>
          <t>98% cached, 2% uncached (per CDN sheet)</t>
        </is>
      </c>
      <c r="C20" s="21">
        <f>C19*0.98+C18*0.02</f>
        <v/>
      </c>
      <c r="D20" s="22">
        <f>C20</f>
        <v/>
      </c>
      <c r="E20" s="23" t="inlineStr"/>
    </row>
    <row r="21">
      <c r="A21" s="19" t="inlineStr">
        <is>
          <t>P95 (ms)</t>
        </is>
      </c>
      <c r="B21" s="20" t="inlineStr">
        <is>
          <t>Blended P50 * 1.8 (typical tail amplification)</t>
        </is>
      </c>
      <c r="C21" s="21">
        <f>C20*1.8</f>
        <v/>
      </c>
      <c r="D21" s="22">
        <f>C21</f>
        <v/>
      </c>
      <c r="E21" s="23" t="inlineStr"/>
    </row>
    <row r="22">
      <c r="A22" s="19" t="inlineStr">
        <is>
          <t>P99 (ms)</t>
        </is>
      </c>
      <c r="B22" s="20" t="inlineStr">
        <is>
          <t>Blended P50 * 3.0</t>
        </is>
      </c>
      <c r="C22" s="21">
        <f>C20*3</f>
        <v/>
      </c>
      <c r="D22" s="22">
        <f>C22</f>
        <v/>
      </c>
      <c r="E22" s="23" t="inlineStr"/>
    </row>
    <row r="23">
      <c r="A23" s="19" t="inlineStr">
        <is>
          <t>SLA Compliance</t>
        </is>
      </c>
      <c r="B23" s="20" t="inlineStr">
        <is>
          <t>IF(P95 &lt; SLA_P95_ms, "PASS", "FAIL")</t>
        </is>
      </c>
      <c r="C23" s="33">
        <f>IF(C21&lt;SLA_P95_ms,"PASS","FAIL")</f>
        <v/>
      </c>
      <c r="D23" s="34">
        <f>C23</f>
        <v/>
      </c>
      <c r="E23" s="23" t="inlineStr"/>
    </row>
    <row r="25" ht="60" customHeight="1">
      <c r="A25" s="26" t="inlineStr">
        <is>
          <t>🎤 INTERVIEW TALK TRACK:  Cached path completes in around 30ms; uncached in around 80ms. Blending the 98/2 CDN hit ratio and applying an 1.8x tail amplification puts P95 comfortably under our 200ms SLA. Kafka writes are fire-and-forget from the request path, so they never touch this latency budget.</t>
        </is>
      </c>
    </row>
  </sheetData>
  <mergeCells count="2">
    <mergeCell ref="A1:E1"/>
    <mergeCell ref="A25:E25"/>
  </mergeCells>
  <conditionalFormatting sqref="C23:D23">
    <cfRule type="cellIs" priority="1" operator="equal" dxfId="0">
      <formula>"PASS"</formula>
    </cfRule>
    <cfRule type="cellIs" priority="2" operator="equal" dxfId="1">
      <formula>"FAIL"</formula>
    </cfRule>
  </conditionalFormatting>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F63"/>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0" customWidth="1" min="5" max="5"/>
  </cols>
  <sheetData>
    <row r="1" ht="26" customHeight="1">
      <c r="A1" s="1" t="inlineStr">
        <is>
          <t>08 - Kafka Design</t>
        </is>
      </c>
    </row>
    <row r="3" ht="18" customHeight="1">
      <c r="A3" s="2" t="inlineStr">
        <is>
          <t>A. THROUGHPUT</t>
        </is>
      </c>
    </row>
    <row r="4" ht="20" customHeight="1">
      <c r="A4" s="18" t="inlineStr">
        <is>
          <t>Step</t>
        </is>
      </c>
      <c r="B4" s="18" t="inlineStr">
        <is>
          <t>Formula (human-readable)</t>
        </is>
      </c>
      <c r="C4" s="18" t="inlineStr">
        <is>
          <t>Live Calculation</t>
        </is>
      </c>
      <c r="D4" s="18" t="inlineStr">
        <is>
          <t>Result</t>
        </is>
      </c>
      <c r="E4" s="18" t="inlineStr">
        <is>
          <t>Derivation Notes</t>
        </is>
      </c>
    </row>
    <row r="5">
      <c r="A5" s="19" t="inlineStr">
        <is>
          <t>1. Kafka MB/s</t>
        </is>
      </c>
      <c r="B5" s="20" t="inlineStr">
        <is>
          <t>Peak RPS * AVG_MSG_SIZE_KB / 1024</t>
        </is>
      </c>
      <c r="C5" s="24">
        <f>Peak_RPS*AVG_MSG_SIZE_KB/1024</f>
        <v/>
      </c>
      <c r="D5" s="25">
        <f>C5</f>
        <v/>
      </c>
      <c r="E5" s="23" t="inlineStr"/>
    </row>
    <row r="6">
      <c r="A6" s="19" t="inlineStr">
        <is>
          <t>2. Internal MB/s (with replication)</t>
        </is>
      </c>
      <c r="B6" s="20" t="inlineStr">
        <is>
          <t>MB/s * REPLICATION_FACTOR</t>
        </is>
      </c>
      <c r="C6" s="21">
        <f>Kafka_MBps*REPLICATION_FACTOR</f>
        <v/>
      </c>
      <c r="D6" s="22">
        <f>C6</f>
        <v/>
      </c>
      <c r="E6" s="23" t="inlineStr"/>
    </row>
    <row r="7">
      <c r="A7" s="19" t="inlineStr">
        <is>
          <t>3. Daily Volume (GB)</t>
        </is>
      </c>
      <c r="B7" s="20" t="inlineStr">
        <is>
          <t>MB/s * 86400 / 1024</t>
        </is>
      </c>
      <c r="C7" s="24">
        <f>Kafka_MBps*86400/1024</f>
        <v/>
      </c>
      <c r="D7" s="25">
        <f>C7</f>
        <v/>
      </c>
      <c r="E7" s="23" t="inlineStr"/>
    </row>
    <row r="8">
      <c r="A8" s="19" t="inlineStr">
        <is>
          <t>4. Monthly Volume (TB)</t>
        </is>
      </c>
      <c r="B8" s="20" t="inlineStr">
        <is>
          <t>Daily * 30 / 1024</t>
        </is>
      </c>
      <c r="C8" s="24">
        <f>C7*30/1024</f>
        <v/>
      </c>
      <c r="D8" s="25">
        <f>C8</f>
        <v/>
      </c>
      <c r="E8" s="23" t="inlineStr"/>
    </row>
    <row r="9">
      <c r="A9" s="19" t="inlineStr">
        <is>
          <t>5. With Compression (zstd, ~3x)</t>
        </is>
      </c>
      <c r="B9" s="20" t="inlineStr">
        <is>
          <t>Monthly / 3</t>
        </is>
      </c>
      <c r="C9" s="21">
        <f>C8/3</f>
        <v/>
      </c>
      <c r="D9" s="22">
        <f>C9</f>
        <v/>
      </c>
      <c r="E9" s="23" t="inlineStr"/>
    </row>
    <row r="11" ht="18" customHeight="1">
      <c r="A11" s="2" t="inlineStr">
        <is>
          <t>B. PARTITIONS &amp; BROKERS</t>
        </is>
      </c>
    </row>
    <row r="12" ht="20" customHeight="1">
      <c r="A12" s="18" t="inlineStr">
        <is>
          <t>Step</t>
        </is>
      </c>
      <c r="B12" s="18" t="inlineStr">
        <is>
          <t>Formula (human-readable)</t>
        </is>
      </c>
      <c r="C12" s="18" t="inlineStr">
        <is>
          <t>Live Calculation</t>
        </is>
      </c>
      <c r="D12" s="18" t="inlineStr">
        <is>
          <t>Result</t>
        </is>
      </c>
      <c r="E12" s="18" t="inlineStr">
        <is>
          <t>Derivation Notes</t>
        </is>
      </c>
    </row>
    <row r="13">
      <c r="A13" s="19" t="inlineStr">
        <is>
          <t>6. Partitions (producer-bound)</t>
        </is>
      </c>
      <c r="B13" s="20" t="inlineStr">
        <is>
          <t>ROUNDUP(MB/s / PRODUCER_PER_PARTITION_MBPS, 0)</t>
        </is>
      </c>
      <c r="C13" s="24">
        <f>ROUNDUP(Kafka_MBps/PRODUCER_PER_PARTITION_MBPS,0)</f>
        <v/>
      </c>
      <c r="D13" s="25">
        <f>C13</f>
        <v/>
      </c>
      <c r="E13" s="23" t="inlineStr"/>
    </row>
    <row r="14">
      <c r="A14" s="19" t="inlineStr">
        <is>
          <t>7. Partitions (consumer-bound)</t>
        </is>
      </c>
      <c r="B14" s="20" t="inlineStr">
        <is>
          <t>ROUNDUP(MB/s / CONSUMER_PER_PARTITION_MBPS, 0)</t>
        </is>
      </c>
      <c r="C14" s="24">
        <f>ROUNDUP(Kafka_MBps/CONSUMER_PER_PARTITION_MBPS,0)</f>
        <v/>
      </c>
      <c r="D14" s="25">
        <f>C14</f>
        <v/>
      </c>
      <c r="E14" s="23" t="inlineStr"/>
    </row>
    <row r="15">
      <c r="A15" s="19" t="inlineStr">
        <is>
          <t>8. Raw Partitions</t>
        </is>
      </c>
      <c r="B15" s="20" t="inlineStr">
        <is>
          <t>MAX(producer-bound, consumer-bound, MIN_BROKERS_HA)</t>
        </is>
      </c>
      <c r="C15" s="24">
        <f>MAX(C13,C14,MIN_BROKERS_HA)</f>
        <v/>
      </c>
      <c r="D15" s="25">
        <f>C15</f>
        <v/>
      </c>
      <c r="E15" s="23" t="inlineStr"/>
    </row>
    <row r="16">
      <c r="A16" s="19" t="inlineStr">
        <is>
          <t>9. Adjusted Partitions</t>
        </is>
      </c>
      <c r="B16" s="20" t="inlineStr">
        <is>
          <t>ROUNDUP(Raw / BROKER_MULTIPLE, 0) * BROKER_MULTIPLE</t>
        </is>
      </c>
      <c r="C16" s="21">
        <f>ROUNDUP(C15/BROKER_MULTIPLE,0)*BROKER_MULTIPLE</f>
        <v/>
      </c>
      <c r="D16" s="22">
        <f>C16</f>
        <v/>
      </c>
      <c r="E16" s="23" t="inlineStr">
        <is>
          <t>Rounded to a clean multiple of brokers</t>
        </is>
      </c>
    </row>
    <row r="17">
      <c r="A17" s="19" t="inlineStr">
        <is>
          <t>10. Brokers</t>
        </is>
      </c>
      <c r="B17" s="20" t="inlineStr">
        <is>
          <t>MAX(MIN_BROKERS_HA, ROUNDUP(Internal MB/s / BROKER_CAPACITY_MBPS, 0))</t>
        </is>
      </c>
      <c r="C17" s="21">
        <f>MAX(MIN_BROKERS_HA,ROUNDUP(Kafka_Internal_MBps/BROKER_CAPACITY_MBPS,0))</f>
        <v/>
      </c>
      <c r="D17" s="22">
        <f>C17</f>
        <v/>
      </c>
      <c r="E17" s="23" t="inlineStr"/>
    </row>
    <row r="19" ht="18" customHeight="1">
      <c r="A19" s="2" t="inlineStr">
        <is>
          <t>C. TOPIC TABLE</t>
        </is>
      </c>
    </row>
    <row r="20" ht="20" customHeight="1">
      <c r="A20" s="29" t="inlineStr">
        <is>
          <t>Topic</t>
        </is>
      </c>
      <c r="B20" s="29" t="inlineStr">
        <is>
          <t>Partitions</t>
        </is>
      </c>
      <c r="C20" s="29" t="inlineStr">
        <is>
          <t>Retention(d)</t>
        </is>
      </c>
      <c r="D20" s="29" t="inlineStr">
        <is>
          <t>RF</t>
        </is>
      </c>
      <c r="E20" s="29" t="inlineStr">
        <is>
          <t>Cleanup</t>
        </is>
      </c>
      <c r="F20" s="29" t="inlineStr">
        <is>
          <t>Purpose</t>
        </is>
      </c>
    </row>
    <row r="21">
      <c r="A21" s="36" t="inlineStr">
        <is>
          <t>order.events</t>
        </is>
      </c>
      <c r="B21" s="36" t="n">
        <v>24</v>
      </c>
      <c r="C21" s="36" t="n">
        <v>7</v>
      </c>
      <c r="D21" s="36">
        <f>REPLICATION_FACTOR</f>
        <v/>
      </c>
      <c r="E21" s="36" t="inlineStr">
        <is>
          <t>delete</t>
        </is>
      </c>
      <c r="F21" s="5" t="inlineStr">
        <is>
          <t>Order lifecycle events</t>
        </is>
      </c>
    </row>
    <row r="22">
      <c r="A22" s="36" t="inlineStr">
        <is>
          <t>payment.transactions</t>
        </is>
      </c>
      <c r="B22" s="36" t="n">
        <v>12</v>
      </c>
      <c r="C22" s="36" t="n">
        <v>30</v>
      </c>
      <c r="D22" s="36">
        <f>REPLICATION_FACTOR</f>
        <v/>
      </c>
      <c r="E22" s="36" t="inlineStr">
        <is>
          <t>compact</t>
        </is>
      </c>
      <c r="F22" s="5" t="inlineStr">
        <is>
          <t>Payment ledger (compliance)</t>
        </is>
      </c>
    </row>
    <row r="23">
      <c r="A23" s="36" t="inlineStr">
        <is>
          <t>inventory.updates</t>
        </is>
      </c>
      <c r="B23" s="36" t="n">
        <v>12</v>
      </c>
      <c r="C23" s="36" t="n">
        <v>7</v>
      </c>
      <c r="D23" s="36">
        <f>REPLICATION_FACTOR</f>
        <v/>
      </c>
      <c r="E23" s="36" t="inlineStr">
        <is>
          <t>compact</t>
        </is>
      </c>
      <c r="F23" s="5" t="inlineStr">
        <is>
          <t>Stock level changes</t>
        </is>
      </c>
    </row>
    <row r="24">
      <c r="A24" s="36" t="inlineStr">
        <is>
          <t>order.dlq</t>
        </is>
      </c>
      <c r="B24" s="36" t="n">
        <v>6</v>
      </c>
      <c r="C24" s="36" t="n">
        <v>30</v>
      </c>
      <c r="D24" s="36">
        <f>REPLICATION_FACTOR</f>
        <v/>
      </c>
      <c r="E24" s="36" t="inlineStr">
        <is>
          <t>delete</t>
        </is>
      </c>
      <c r="F24" s="5" t="inlineStr">
        <is>
          <t>Dead-letter queue</t>
        </is>
      </c>
    </row>
    <row r="25">
      <c r="A25" s="36" t="inlineStr">
        <is>
          <t>order.retry.5s</t>
        </is>
      </c>
      <c r="B25" s="36" t="n">
        <v>6</v>
      </c>
      <c r="C25" s="36" t="n">
        <v>1</v>
      </c>
      <c r="D25" s="36">
        <f>REPLICATION_FACTOR</f>
        <v/>
      </c>
      <c r="E25" s="36" t="inlineStr">
        <is>
          <t>delete</t>
        </is>
      </c>
      <c r="F25" s="5" t="inlineStr">
        <is>
          <t>Retry tier 1</t>
        </is>
      </c>
    </row>
    <row r="26">
      <c r="A26" s="36" t="inlineStr">
        <is>
          <t>order.retry.30s</t>
        </is>
      </c>
      <c r="B26" s="36" t="n">
        <v>6</v>
      </c>
      <c r="C26" s="36" t="n">
        <v>1</v>
      </c>
      <c r="D26" s="36">
        <f>REPLICATION_FACTOR</f>
        <v/>
      </c>
      <c r="E26" s="36" t="inlineStr">
        <is>
          <t>delete</t>
        </is>
      </c>
      <c r="F26" s="5" t="inlineStr">
        <is>
          <t>Retry tier 2</t>
        </is>
      </c>
    </row>
    <row r="27">
      <c r="A27" s="36" t="inlineStr">
        <is>
          <t>order.retry.5m</t>
        </is>
      </c>
      <c r="B27" s="36" t="n">
        <v>6</v>
      </c>
      <c r="C27" s="36" t="n">
        <v>1</v>
      </c>
      <c r="D27" s="36">
        <f>REPLICATION_FACTOR</f>
        <v/>
      </c>
      <c r="E27" s="36" t="inlineStr">
        <is>
          <t>delete</t>
        </is>
      </c>
      <c r="F27" s="5" t="inlineStr">
        <is>
          <t>Retry tier 3</t>
        </is>
      </c>
    </row>
    <row r="28">
      <c r="A28" s="36" t="inlineStr">
        <is>
          <t>order.reprocess</t>
        </is>
      </c>
      <c r="B28" s="36" t="n">
        <v>6</v>
      </c>
      <c r="C28" s="36" t="n">
        <v>7</v>
      </c>
      <c r="D28" s="36">
        <f>REPLICATION_FACTOR</f>
        <v/>
      </c>
      <c r="E28" s="36" t="inlineStr">
        <is>
          <t>delete</t>
        </is>
      </c>
      <c r="F28" s="5" t="inlineStr">
        <is>
          <t>Manual on-call reprocess</t>
        </is>
      </c>
    </row>
    <row r="30" ht="18" customHeight="1">
      <c r="A30" s="2" t="inlineStr">
        <is>
          <t>D. KRAFT CONTROL PLANE</t>
        </is>
      </c>
    </row>
    <row r="31" ht="20" customHeight="1">
      <c r="A31" s="18" t="inlineStr">
        <is>
          <t>Step</t>
        </is>
      </c>
      <c r="B31" s="18" t="inlineStr">
        <is>
          <t>Formula (human-readable)</t>
        </is>
      </c>
      <c r="C31" s="18" t="inlineStr">
        <is>
          <t>Live Calculation</t>
        </is>
      </c>
      <c r="D31" s="18" t="inlineStr">
        <is>
          <t>Result</t>
        </is>
      </c>
      <c r="E31" s="18" t="inlineStr">
        <is>
          <t>Derivation Notes</t>
        </is>
      </c>
    </row>
    <row r="32">
      <c r="A32" s="19" t="inlineStr">
        <is>
          <t>11. KRaft Controllers</t>
        </is>
      </c>
      <c r="B32" s="20" t="inlineStr">
        <is>
          <t>Fixed (odd number for quorum)</t>
        </is>
      </c>
      <c r="C32" s="27">
        <f>3</f>
        <v/>
      </c>
      <c r="D32" s="28">
        <f>C32</f>
        <v/>
      </c>
      <c r="E32" s="23" t="inlineStr"/>
    </row>
    <row r="33">
      <c r="A33" s="19" t="inlineStr">
        <is>
          <t>12. Controller Cores (each)</t>
        </is>
      </c>
      <c r="B33" s="20" t="inlineStr">
        <is>
          <t>Fixed</t>
        </is>
      </c>
      <c r="C33" s="27">
        <f>2</f>
        <v/>
      </c>
      <c r="D33" s="28">
        <f>C33</f>
        <v/>
      </c>
      <c r="E33" s="23" t="inlineStr"/>
    </row>
    <row r="34">
      <c r="A34" s="19" t="inlineStr">
        <is>
          <t>13. Controller RAM GB (each)</t>
        </is>
      </c>
      <c r="B34" s="20" t="inlineStr">
        <is>
          <t>Fixed</t>
        </is>
      </c>
      <c r="C34" s="27">
        <f>4</f>
        <v/>
      </c>
      <c r="D34" s="28">
        <f>C34</f>
        <v/>
      </c>
      <c r="E34" s="23" t="inlineStr"/>
    </row>
    <row r="35">
      <c r="A35" s="19" t="inlineStr">
        <is>
          <t>14. Metadata Ops/sec</t>
        </is>
      </c>
      <c r="B35" s="20" t="inlineStr">
        <is>
          <t>Partitions * 0.1</t>
        </is>
      </c>
      <c r="C35" s="24">
        <f>Kafka_Partitions*0.1</f>
        <v/>
      </c>
      <c r="D35" s="25">
        <f>C35</f>
        <v/>
      </c>
      <c r="E35" s="23" t="inlineStr">
        <is>
          <t>Approximation</t>
        </is>
      </c>
    </row>
    <row r="37" ht="18" customHeight="1">
      <c r="A37" s="2" t="inlineStr">
        <is>
          <t>E. PRODUCER CONFIG</t>
        </is>
      </c>
    </row>
    <row r="38">
      <c r="A38" s="37" t="inlineStr">
        <is>
          <t>- acks=1 (acks=all for payment.transactions)</t>
        </is>
      </c>
    </row>
    <row r="39">
      <c r="A39" s="37" t="inlineStr">
        <is>
          <t>- enable.idempotence=true</t>
        </is>
      </c>
    </row>
    <row r="40">
      <c r="A40" s="37" t="inlineStr">
        <is>
          <t>- compression.type=zstd</t>
        </is>
      </c>
    </row>
    <row r="41">
      <c r="A41" s="37" t="inlineStr">
        <is>
          <t>- batch.size=1048576</t>
        </is>
      </c>
    </row>
    <row r="42">
      <c r="A42" s="37" t="inlineStr">
        <is>
          <t>- linger.ms=20</t>
        </is>
      </c>
    </row>
    <row r="43">
      <c r="A43" s="37" t="inlineStr">
        <is>
          <t>- max.in.flight.requests.per.connection=5</t>
        </is>
      </c>
    </row>
    <row r="45" ht="18" customHeight="1">
      <c r="A45" s="2" t="inlineStr">
        <is>
          <t>F. CONSUMER CONFIG</t>
        </is>
      </c>
    </row>
    <row r="46">
      <c r="A46" s="37" t="inlineStr">
        <is>
          <t>- max.poll.records=5000</t>
        </is>
      </c>
    </row>
    <row r="47">
      <c r="A47" s="37" t="inlineStr">
        <is>
          <t>- fetch.min.bytes=1048576</t>
        </is>
      </c>
    </row>
    <row r="48">
      <c r="A48" s="37" t="inlineStr">
        <is>
          <t>- enable.auto.commit=false</t>
        </is>
      </c>
    </row>
    <row r="49">
      <c r="A49" s="37" t="inlineStr">
        <is>
          <t>- isolation.level=read_committed</t>
        </is>
      </c>
    </row>
    <row r="50">
      <c r="A50" s="37" t="inlineStr">
        <is>
          <t>- partition.assignment.strategy=CooperativeStickyAssignor</t>
        </is>
      </c>
    </row>
    <row r="52" ht="60" customHeight="1">
      <c r="A52" s="26" t="inlineStr">
        <is>
          <t>🎤 INTERVIEW TALK TRACK:  At 7k RPS times 1KB messages we need roughly 7MB/s of producer throughput; with RF=3 that's 21MB/s internal. Rounding to clean broker multiples gives 24 partitions across a 6-broker cluster. KRaft runs 3 controllers for HA -- no ZooKeeper. Idempotent producers plus transactions give us exactly-once semantics on the payment topic specifically.</t>
        </is>
      </c>
    </row>
    <row r="54" ht="18" customHeight="1">
      <c r="A54" s="2" t="inlineStr">
        <is>
          <t>SENSITIVITY: THROUGHPUT vs PARTITIONS</t>
        </is>
      </c>
    </row>
    <row r="55" ht="20" customHeight="1">
      <c r="A55" s="29" t="inlineStr">
        <is>
          <t>Partitions</t>
        </is>
      </c>
      <c r="B55" s="29" t="inlineStr">
        <is>
          <t>Max Producer Throughput (MB/s)</t>
        </is>
      </c>
      <c r="C55" s="29" t="inlineStr">
        <is>
          <t>Max Consumer Throughput (MB/s)</t>
        </is>
      </c>
      <c r="D55" s="29" t="inlineStr"/>
      <c r="E55" s="29" t="inlineStr"/>
    </row>
    <row r="56">
      <c r="A56" s="30" t="n">
        <v>6</v>
      </c>
      <c r="B56" s="30">
        <f>A56*PRODUCER_PER_PARTITION_MBPS</f>
        <v/>
      </c>
      <c r="C56" s="30">
        <f>A56*CONSUMER_PER_PARTITION_MBPS</f>
        <v/>
      </c>
    </row>
    <row r="57">
      <c r="A57" s="30" t="n">
        <v>12</v>
      </c>
      <c r="B57" s="30">
        <f>A57*PRODUCER_PER_PARTITION_MBPS</f>
        <v/>
      </c>
      <c r="C57" s="30">
        <f>A57*CONSUMER_PER_PARTITION_MBPS</f>
        <v/>
      </c>
    </row>
    <row r="58">
      <c r="A58" s="30" t="n">
        <v>18</v>
      </c>
      <c r="B58" s="30">
        <f>A58*PRODUCER_PER_PARTITION_MBPS</f>
        <v/>
      </c>
      <c r="C58" s="30">
        <f>A58*CONSUMER_PER_PARTITION_MBPS</f>
        <v/>
      </c>
    </row>
    <row r="59">
      <c r="A59" s="30" t="n">
        <v>24</v>
      </c>
      <c r="B59" s="30">
        <f>A59*PRODUCER_PER_PARTITION_MBPS</f>
        <v/>
      </c>
      <c r="C59" s="30">
        <f>A59*CONSUMER_PER_PARTITION_MBPS</f>
        <v/>
      </c>
    </row>
    <row r="60">
      <c r="A60" s="30" t="n">
        <v>30</v>
      </c>
      <c r="B60" s="30">
        <f>A60*PRODUCER_PER_PARTITION_MBPS</f>
        <v/>
      </c>
      <c r="C60" s="30">
        <f>A60*CONSUMER_PER_PARTITION_MBPS</f>
        <v/>
      </c>
    </row>
    <row r="61">
      <c r="A61" s="30" t="n">
        <v>36</v>
      </c>
      <c r="B61" s="30">
        <f>A61*PRODUCER_PER_PARTITION_MBPS</f>
        <v/>
      </c>
      <c r="C61" s="30">
        <f>A61*CONSUMER_PER_PARTITION_MBPS</f>
        <v/>
      </c>
    </row>
    <row r="62">
      <c r="A62" s="30" t="n">
        <v>48</v>
      </c>
      <c r="B62" s="30">
        <f>A62*PRODUCER_PER_PARTITION_MBPS</f>
        <v/>
      </c>
      <c r="C62" s="30">
        <f>A62*CONSUMER_PER_PARTITION_MBPS</f>
        <v/>
      </c>
    </row>
    <row r="63">
      <c r="A63" s="30" t="n">
        <v>60</v>
      </c>
      <c r="B63" s="30">
        <f>A63*PRODUCER_PER_PARTITION_MBPS</f>
        <v/>
      </c>
      <c r="C63" s="30">
        <f>A63*CONSUMER_PER_PARTITION_MBPS</f>
        <v/>
      </c>
    </row>
  </sheetData>
  <mergeCells count="20">
    <mergeCell ref="A30:E30"/>
    <mergeCell ref="A39:E39"/>
    <mergeCell ref="A48:E48"/>
    <mergeCell ref="A11:E11"/>
    <mergeCell ref="A49:E49"/>
    <mergeCell ref="A1:E1"/>
    <mergeCell ref="A45:E45"/>
    <mergeCell ref="A54:E54"/>
    <mergeCell ref="A41:E41"/>
    <mergeCell ref="A37:E37"/>
    <mergeCell ref="A46:E46"/>
    <mergeCell ref="A3:E3"/>
    <mergeCell ref="A50:E50"/>
    <mergeCell ref="A42:E42"/>
    <mergeCell ref="A47:E47"/>
    <mergeCell ref="A43:E43"/>
    <mergeCell ref="A38:E38"/>
    <mergeCell ref="A52:E52"/>
    <mergeCell ref="A19:E19"/>
    <mergeCell ref="A40:E40"/>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drawing xmlns:r="http://schemas.openxmlformats.org/officeDocument/2006/relationships" r:id="rId1"/>
</worksheet>
</file>

<file path=xl/worksheets/sheet10.xml><?xml version="1.0" encoding="utf-8"?>
<worksheet xmlns="http://schemas.openxmlformats.org/spreadsheetml/2006/main">
  <sheetPr>
    <outlinePr summaryBelow="1" summaryRight="1"/>
    <pageSetUpPr fitToPage="1"/>
  </sheetPr>
  <dimension ref="A1:E45"/>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0" customWidth="1" min="5" max="5"/>
  </cols>
  <sheetData>
    <row r="1" ht="26" customHeight="1">
      <c r="A1" s="1" t="inlineStr">
        <is>
          <t>09 - Database Design (PostgreSQL)</t>
        </is>
      </c>
    </row>
    <row r="3" ht="18" customHeight="1">
      <c r="A3" s="2" t="inlineStr">
        <is>
          <t>A. QPS</t>
        </is>
      </c>
    </row>
    <row r="4" ht="20" customHeight="1">
      <c r="A4" s="18" t="inlineStr">
        <is>
          <t>Step</t>
        </is>
      </c>
      <c r="B4" s="18" t="inlineStr">
        <is>
          <t>Formula (human-readable)</t>
        </is>
      </c>
      <c r="C4" s="18" t="inlineStr">
        <is>
          <t>Live Calculation</t>
        </is>
      </c>
      <c r="D4" s="18" t="inlineStr">
        <is>
          <t>Result</t>
        </is>
      </c>
      <c r="E4" s="18" t="inlineStr">
        <is>
          <t>Derivation Notes</t>
        </is>
      </c>
    </row>
    <row r="5">
      <c r="A5" s="19" t="inlineStr">
        <is>
          <t>1. Total DB QPS</t>
        </is>
      </c>
      <c r="B5" s="20" t="inlineStr">
        <is>
          <t>Peak RPS * QUERIES_PER_API_CALL</t>
        </is>
      </c>
      <c r="C5" s="24">
        <f>Peak_RPS*QUERIES_PER_API_CALL</f>
        <v/>
      </c>
      <c r="D5" s="25">
        <f>C5</f>
        <v/>
      </c>
      <c r="E5" s="23" t="inlineStr"/>
    </row>
    <row r="6">
      <c r="A6" s="19" t="inlineStr">
        <is>
          <t>2. Read QPS</t>
        </is>
      </c>
      <c r="B6" s="20" t="inlineStr">
        <is>
          <t>Total * READ_WRITE_SPLIT_READ_PCT/100</t>
        </is>
      </c>
      <c r="C6" s="24">
        <f>C5*READ_WRITE_SPLIT_READ_PCT/100</f>
        <v/>
      </c>
      <c r="D6" s="25">
        <f>C6</f>
        <v/>
      </c>
      <c r="E6" s="23" t="inlineStr"/>
    </row>
    <row r="7">
      <c r="A7" s="19" t="inlineStr">
        <is>
          <t>3. Write QPS</t>
        </is>
      </c>
      <c r="B7" s="20" t="inlineStr">
        <is>
          <t>Total - Read QPS</t>
        </is>
      </c>
      <c r="C7" s="24">
        <f>C5-C6</f>
        <v/>
      </c>
      <c r="D7" s="25">
        <f>C7</f>
        <v/>
      </c>
      <c r="E7" s="23" t="inlineStr"/>
    </row>
    <row r="8">
      <c r="A8" s="19" t="inlineStr">
        <is>
          <t>4. Cache-Hit Reads</t>
        </is>
      </c>
      <c r="B8" s="20" t="inlineStr">
        <is>
          <t>Read QPS * CACHE_HIT_PCT/100</t>
        </is>
      </c>
      <c r="C8" s="24">
        <f>C6*CACHE_HIT_PCT/100</f>
        <v/>
      </c>
      <c r="D8" s="25">
        <f>C8</f>
        <v/>
      </c>
      <c r="E8" s="23" t="inlineStr"/>
    </row>
    <row r="9">
      <c r="A9" s="19" t="inlineStr">
        <is>
          <t>5. Cache-Miss Reads</t>
        </is>
      </c>
      <c r="B9" s="20" t="inlineStr">
        <is>
          <t>Read QPS - Cache-Hit Reads</t>
        </is>
      </c>
      <c r="C9" s="24">
        <f>C6-C8</f>
        <v/>
      </c>
      <c r="D9" s="25">
        <f>C9</f>
        <v/>
      </c>
      <c r="E9" s="23" t="inlineStr"/>
    </row>
    <row r="10">
      <c r="A10" s="19" t="inlineStr">
        <is>
          <t>6. Actual DB QPS (post-cache)</t>
        </is>
      </c>
      <c r="B10" s="20" t="inlineStr">
        <is>
          <t>Cache-Miss Reads + Write QPS</t>
        </is>
      </c>
      <c r="C10" s="21">
        <f>C9+C7</f>
        <v/>
      </c>
      <c r="D10" s="22">
        <f>C10</f>
        <v/>
      </c>
      <c r="E10" s="23" t="inlineStr">
        <is>
          <t>What Postgres really sees</t>
        </is>
      </c>
    </row>
    <row r="12" ht="18" customHeight="1">
      <c r="A12" s="2" t="inlineStr">
        <is>
          <t>B. IOPS</t>
        </is>
      </c>
    </row>
    <row r="13" ht="20" customHeight="1">
      <c r="A13" s="18" t="inlineStr">
        <is>
          <t>Step</t>
        </is>
      </c>
      <c r="B13" s="18" t="inlineStr">
        <is>
          <t>Formula (human-readable)</t>
        </is>
      </c>
      <c r="C13" s="18" t="inlineStr">
        <is>
          <t>Live Calculation</t>
        </is>
      </c>
      <c r="D13" s="18" t="inlineStr">
        <is>
          <t>Result</t>
        </is>
      </c>
      <c r="E13" s="18" t="inlineStr">
        <is>
          <t>Derivation Notes</t>
        </is>
      </c>
    </row>
    <row r="14">
      <c r="A14" s="19" t="inlineStr">
        <is>
          <t>7. Total IOPS Required</t>
        </is>
      </c>
      <c r="B14" s="20" t="inlineStr">
        <is>
          <t>Actual DB QPS * DB_IOPS_PER_QUERY</t>
        </is>
      </c>
      <c r="C14" s="24">
        <f>Actual_DB_QPS*DB_IOPS_PER_QUERY</f>
        <v/>
      </c>
      <c r="D14" s="25">
        <f>C14</f>
        <v/>
      </c>
      <c r="E14" s="23" t="inlineStr"/>
    </row>
    <row r="15">
      <c r="A15" s="19" t="inlineStr">
        <is>
          <t>8. Recommended IOPS (2x headroom)</t>
        </is>
      </c>
      <c r="B15" s="20" t="inlineStr">
        <is>
          <t>Total * 2</t>
        </is>
      </c>
      <c r="C15" s="21">
        <f>C14*2</f>
        <v/>
      </c>
      <c r="D15" s="22">
        <f>C15</f>
        <v/>
      </c>
      <c r="E15" s="23" t="inlineStr"/>
    </row>
    <row r="16">
      <c r="A16" s="19" t="inlineStr">
        <is>
          <t>9. NVMe SSD Baseline</t>
        </is>
      </c>
      <c r="B16" s="20" t="inlineStr">
        <is>
          <t>gp3 default vs io2 Block Express ceiling</t>
        </is>
      </c>
      <c r="C16" s="38">
        <f>"gp3: 16,000 | io2 BE: 256,000"</f>
        <v/>
      </c>
      <c r="D16" s="39">
        <f>C16</f>
        <v/>
      </c>
      <c r="E16" s="23" t="inlineStr">
        <is>
          <t>Reference only</t>
        </is>
      </c>
    </row>
    <row r="17">
      <c r="A17" s="19" t="inlineStr">
        <is>
          <t>10. Disk Size Needed (GB)</t>
        </is>
      </c>
      <c r="B17" s="20" t="inlineStr">
        <is>
          <t>ROUNDUP(Recommended IOPS / DB_SSD_IOPS_PER_GB, 0)</t>
        </is>
      </c>
      <c r="C17" s="21">
        <f>ROUNDUP(C15/DB_SSD_IOPS_PER_GB,0)</f>
        <v/>
      </c>
      <c r="D17" s="22">
        <f>C17</f>
        <v/>
      </c>
      <c r="E17" s="23" t="inlineStr"/>
    </row>
    <row r="19" ht="18" customHeight="1">
      <c r="A19" s="2" t="inlineStr">
        <is>
          <t>C. CONNECTIONS</t>
        </is>
      </c>
    </row>
    <row r="20" ht="20" customHeight="1">
      <c r="A20" s="18" t="inlineStr">
        <is>
          <t>Step</t>
        </is>
      </c>
      <c r="B20" s="18" t="inlineStr">
        <is>
          <t>Formula (human-readable)</t>
        </is>
      </c>
      <c r="C20" s="18" t="inlineStr">
        <is>
          <t>Live Calculation</t>
        </is>
      </c>
      <c r="D20" s="18" t="inlineStr">
        <is>
          <t>Result</t>
        </is>
      </c>
      <c r="E20" s="18" t="inlineStr">
        <is>
          <t>Derivation Notes</t>
        </is>
      </c>
    </row>
    <row r="21">
      <c r="A21" s="19" t="inlineStr">
        <is>
          <t>11. Conn per App Instance</t>
        </is>
      </c>
      <c r="B21" s="20" t="inlineStr">
        <is>
          <t>(Cores * DB_CONN_MULTIPLIER) + DB_CONN_OVERHEAD</t>
        </is>
      </c>
      <c r="C21" s="24">
        <f>(Cores_Per_App_Instance*DB_CONN_MULTIPLIER)+DB_CONN_OVERHEAD</f>
        <v/>
      </c>
      <c r="D21" s="25">
        <f>C21</f>
        <v/>
      </c>
      <c r="E21" s="23" t="inlineStr"/>
    </row>
    <row r="22">
      <c r="A22" s="19" t="inlineStr">
        <is>
          <t>12. Total App Instances</t>
        </is>
      </c>
      <c r="B22" s="20" t="inlineStr">
        <is>
          <t>Sum of backend service instances (06_Backend_Services)</t>
        </is>
      </c>
      <c r="C22" s="24">
        <f>Total_App_Instances</f>
        <v/>
      </c>
      <c r="D22" s="25">
        <f>C22</f>
        <v/>
      </c>
      <c r="E22" s="23" t="inlineStr"/>
    </row>
    <row r="23">
      <c r="A23" s="19" t="inlineStr">
        <is>
          <t>13. Total DB Connections</t>
        </is>
      </c>
      <c r="B23" s="20" t="inlineStr">
        <is>
          <t>Instances * Conn per Instance</t>
        </is>
      </c>
      <c r="C23" s="24">
        <f>Total_App_Instances*C21</f>
        <v/>
      </c>
      <c r="D23" s="25">
        <f>C23</f>
        <v/>
      </c>
      <c r="E23" s="23" t="inlineStr"/>
    </row>
    <row r="24">
      <c r="A24" s="19" t="inlineStr">
        <is>
          <t>14. max_connections (postgresql.conf)</t>
        </is>
      </c>
      <c r="B24" s="20" t="inlineStr">
        <is>
          <t>ROUNDUP(Total * 1.5, 0)</t>
        </is>
      </c>
      <c r="C24" s="21">
        <f>ROUNDUP(C23*1.5,0)</f>
        <v/>
      </c>
      <c r="D24" s="22">
        <f>C24</f>
        <v/>
      </c>
      <c r="E24" s="23" t="inlineStr">
        <is>
          <t>PgBouncer recommended above ~500</t>
        </is>
      </c>
    </row>
    <row r="26" ht="18" customHeight="1">
      <c r="A26" s="2" t="inlineStr">
        <is>
          <t>D. STORAGE</t>
        </is>
      </c>
    </row>
    <row r="27" ht="20" customHeight="1">
      <c r="A27" s="18" t="inlineStr">
        <is>
          <t>Step</t>
        </is>
      </c>
      <c r="B27" s="18" t="inlineStr">
        <is>
          <t>Formula (human-readable)</t>
        </is>
      </c>
      <c r="C27" s="18" t="inlineStr">
        <is>
          <t>Live Calculation</t>
        </is>
      </c>
      <c r="D27" s="18" t="inlineStr">
        <is>
          <t>Result</t>
        </is>
      </c>
      <c r="E27" s="18" t="inlineStr">
        <is>
          <t>Derivation Notes</t>
        </is>
      </c>
    </row>
    <row r="28">
      <c r="A28" s="19" t="inlineStr">
        <is>
          <t>15. Daily Writes</t>
        </is>
      </c>
      <c r="B28" s="20" t="inlineStr">
        <is>
          <t>Write QPS * 86400</t>
        </is>
      </c>
      <c r="C28" s="24">
        <f>C7*86400</f>
        <v/>
      </c>
      <c r="D28" s="25">
        <f>C28</f>
        <v/>
      </c>
      <c r="E28" s="23" t="inlineStr"/>
    </row>
    <row r="29">
      <c r="A29" s="19" t="inlineStr">
        <is>
          <t>16. Hot Data Rows</t>
        </is>
      </c>
      <c r="B29" s="20" t="inlineStr">
        <is>
          <t>Daily Writes * DB_HOT_RETENTION_DAYS</t>
        </is>
      </c>
      <c r="C29" s="24">
        <f>C28*DB_HOT_RETENTION_DAYS</f>
        <v/>
      </c>
      <c r="D29" s="25">
        <f>C29</f>
        <v/>
      </c>
      <c r="E29" s="23" t="inlineStr"/>
    </row>
    <row r="30">
      <c r="A30" s="19" t="inlineStr">
        <is>
          <t>17. Hot Data Size (GB)</t>
        </is>
      </c>
      <c r="B30" s="20" t="inlineStr">
        <is>
          <t>Hot Data Rows * DB_ROW_SIZE_KB / 1024 / 1024</t>
        </is>
      </c>
      <c r="C30" s="24">
        <f>C29*DB_ROW_SIZE_KB/1024/1024</f>
        <v/>
      </c>
      <c r="D30" s="25">
        <f>C30</f>
        <v/>
      </c>
      <c r="E30" s="23" t="inlineStr"/>
    </row>
    <row r="31">
      <c r="A31" s="19" t="inlineStr">
        <is>
          <t>18. With Indexes (GB)</t>
        </is>
      </c>
      <c r="B31" s="20" t="inlineStr">
        <is>
          <t>Hot Data GB * 1.5</t>
        </is>
      </c>
      <c r="C31" s="24">
        <f>C30*1.5</f>
        <v/>
      </c>
      <c r="D31" s="25">
        <f>C31</f>
        <v/>
      </c>
      <c r="E31" s="23" t="inlineStr"/>
    </row>
    <row r="32">
      <c r="A32" s="19" t="inlineStr">
        <is>
          <t>19. With WAL (2x)</t>
        </is>
      </c>
      <c r="B32" s="20" t="inlineStr">
        <is>
          <t>Total * 2</t>
        </is>
      </c>
      <c r="C32" s="21">
        <f>C31*2</f>
        <v/>
      </c>
      <c r="D32" s="22">
        <f>C32</f>
        <v/>
      </c>
      <c r="E32" s="23" t="inlineStr"/>
    </row>
    <row r="33">
      <c r="A33" s="19" t="inlineStr">
        <is>
          <t>20. Backup Storage (S3, 30d)</t>
        </is>
      </c>
      <c r="B33" s="20" t="inlineStr">
        <is>
          <t>Daily full backup * 30 retained copies notional</t>
        </is>
      </c>
      <c r="C33" s="21">
        <f>C31*1</f>
        <v/>
      </c>
      <c r="D33" s="22">
        <f>C33</f>
        <v/>
      </c>
      <c r="E33" s="23" t="inlineStr">
        <is>
          <t>Feeds 16_Cost_Estimator S3 line</t>
        </is>
      </c>
    </row>
    <row r="35" ht="18" customHeight="1">
      <c r="A35" s="2" t="inlineStr">
        <is>
          <t>E. SERVER SIZING</t>
        </is>
      </c>
    </row>
    <row r="36" ht="20" customHeight="1">
      <c r="A36" s="18" t="inlineStr">
        <is>
          <t>Step</t>
        </is>
      </c>
      <c r="B36" s="18" t="inlineStr">
        <is>
          <t>Formula (human-readable)</t>
        </is>
      </c>
      <c r="C36" s="18" t="inlineStr">
        <is>
          <t>Live Calculation</t>
        </is>
      </c>
      <c r="D36" s="18" t="inlineStr">
        <is>
          <t>Result</t>
        </is>
      </c>
      <c r="E36" s="18" t="inlineStr">
        <is>
          <t>Derivation Notes</t>
        </is>
      </c>
    </row>
    <row r="37">
      <c r="A37" s="19" t="inlineStr">
        <is>
          <t>21. Recommended RAM (GB, shared_buffers 25%)</t>
        </is>
      </c>
      <c r="B37" s="20" t="inlineStr">
        <is>
          <t>ROUNDUP(Hot Data GB * 0.25, 0)</t>
        </is>
      </c>
      <c r="C37" s="24">
        <f>ROUNDUP(C30*0.25,0)</f>
        <v/>
      </c>
      <c r="D37" s="25">
        <f>C37</f>
        <v/>
      </c>
      <c r="E37" s="23" t="inlineStr"/>
    </row>
    <row r="38">
      <c r="A38" s="19" t="inlineStr">
        <is>
          <t>22. Recommended vCPU</t>
        </is>
      </c>
      <c r="B38" s="20" t="inlineStr">
        <is>
          <t>MAX(8, ROUNDUP(Actual QPS / 2000, 0))</t>
        </is>
      </c>
      <c r="C38" s="21">
        <f>MAX(8,ROUNDUP(Actual_DB_QPS/2000,0))</f>
        <v/>
      </c>
      <c r="D38" s="22">
        <f>C38</f>
        <v/>
      </c>
      <c r="E38" s="23" t="inlineStr"/>
    </row>
    <row r="39">
      <c r="A39" s="19" t="inlineStr">
        <is>
          <t>23. Primary Server</t>
        </is>
      </c>
      <c r="B39" s="20" t="inlineStr">
        <is>
          <t>Fixed recommendation</t>
        </is>
      </c>
      <c r="C39" s="38">
        <f>"1x r6i.2xlarge (8 vCPU, 64GB)"</f>
        <v/>
      </c>
      <c r="D39" s="39">
        <f>C39</f>
        <v/>
      </c>
      <c r="E39" s="23" t="inlineStr"/>
    </row>
    <row r="40">
      <c r="A40" s="19" t="inlineStr">
        <is>
          <t>24. Read Replicas</t>
        </is>
      </c>
      <c r="B40" s="20" t="inlineStr">
        <is>
          <t>ROUNDUP(Read QPS / DB_READ_REPLICA_QPS, 0)</t>
        </is>
      </c>
      <c r="C40" s="21">
        <f>ROUNDUP(C6/DB_READ_REPLICA_QPS,0)</f>
        <v/>
      </c>
      <c r="D40" s="22">
        <f>C40</f>
        <v/>
      </c>
      <c r="E40" s="23" t="inlineStr"/>
    </row>
    <row r="42" ht="18" customHeight="1">
      <c r="A42" s="2" t="inlineStr">
        <is>
          <t>F. INDEXES &amp; SHARDING (info)</t>
        </is>
      </c>
    </row>
    <row r="43">
      <c r="A43" s="3" t="inlineStr">
        <is>
          <t>B-tree indexes: order_id, user_id, created_at, status. Partial index on status='PENDING' (hot path). Shard by HASH(user_id) MOD 16 once a table crosses ~5TB.</t>
        </is>
      </c>
    </row>
    <row r="45" ht="60" customHeight="1">
      <c r="A45" s="26" t="inlineStr">
        <is>
          <t>🎤 INTERVIEW TALK TRACK:  Raw DB QPS is about 21k, but with a 95% cache hit rate only roughly 1,050 queries a second actually hit disk. That needs about 1,260 IOPS -- trivial for NVMe gp3. We size Postgres around 64GB RAM with a 16GB shared_buffers and a few hundred max_connections behind PgBouncer, plus read replicas to absorb analytics and search-adjacent read traffic.</t>
        </is>
      </c>
    </row>
  </sheetData>
  <mergeCells count="9">
    <mergeCell ref="A12:E12"/>
    <mergeCell ref="A35:E35"/>
    <mergeCell ref="A26:E26"/>
    <mergeCell ref="A43:E43"/>
    <mergeCell ref="A42:E42"/>
    <mergeCell ref="A19:E19"/>
    <mergeCell ref="A1:E1"/>
    <mergeCell ref="A45:E45"/>
    <mergeCell ref="A3:E3"/>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E25"/>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0" customWidth="1" min="5" max="5"/>
  </cols>
  <sheetData>
    <row r="1" ht="26" customHeight="1">
      <c r="A1" s="1" t="inlineStr">
        <is>
          <t>10 - Cache (Redis)</t>
        </is>
      </c>
    </row>
    <row r="3" ht="18" customHeight="1">
      <c r="A3" s="2" t="inlineStr">
        <is>
          <t>A. MEMORY</t>
        </is>
      </c>
    </row>
    <row r="4" ht="20" customHeight="1">
      <c r="A4" s="18" t="inlineStr">
        <is>
          <t>Step</t>
        </is>
      </c>
      <c r="B4" s="18" t="inlineStr">
        <is>
          <t>Formula (human-readable)</t>
        </is>
      </c>
      <c r="C4" s="18" t="inlineStr">
        <is>
          <t>Live Calculation</t>
        </is>
      </c>
      <c r="D4" s="18" t="inlineStr">
        <is>
          <t>Result</t>
        </is>
      </c>
      <c r="E4" s="18" t="inlineStr">
        <is>
          <t>Derivation Notes</t>
        </is>
      </c>
    </row>
    <row r="5">
      <c r="A5" s="19" t="inlineStr">
        <is>
          <t>1. Session Memory (GB)</t>
        </is>
      </c>
      <c r="B5" s="20" t="inlineStr">
        <is>
          <t>DAU * SESSION_SIZE_KB / 1024 / 1024</t>
        </is>
      </c>
      <c r="C5" s="24">
        <f>DAU*SESSION_SIZE_KB/1024/1024</f>
        <v/>
      </c>
      <c r="D5" s="25">
        <f>C5</f>
        <v/>
      </c>
      <c r="E5" s="23" t="inlineStr"/>
    </row>
    <row r="6">
      <c r="A6" s="19" t="inlineStr">
        <is>
          <t>2. Catalog Memory (GB)</t>
        </is>
      </c>
      <c r="B6" s="20" t="inlineStr">
        <is>
          <t>CATALOG_SKUS * CATALOG_ENTRY_KB / 1024 / 1024</t>
        </is>
      </c>
      <c r="C6" s="24">
        <f>CATALOG_SKUS*CATALOG_ENTRY_KB/1024/1024</f>
        <v/>
      </c>
      <c r="D6" s="25">
        <f>C6</f>
        <v/>
      </c>
      <c r="E6" s="23" t="inlineStr"/>
    </row>
    <row r="7">
      <c r="A7" s="19" t="inlineStr">
        <is>
          <t>3. Hot SKU Memory (GB)</t>
        </is>
      </c>
      <c r="B7" s="20" t="inlineStr">
        <is>
          <t>HOT_SKU_COUNT * HOT_SKU_ENTRY_KB / 1024 / 1024</t>
        </is>
      </c>
      <c r="C7" s="24">
        <f>HOT_SKU_COUNT*HOT_SKU_ENTRY_KB/1024/1024</f>
        <v/>
      </c>
      <c r="D7" s="25">
        <f>C7</f>
        <v/>
      </c>
      <c r="E7" s="23" t="inlineStr"/>
    </row>
    <row r="8">
      <c r="A8" s="19" t="inlineStr">
        <is>
          <t>4. Subtotal (GB)</t>
        </is>
      </c>
      <c r="B8" s="20" t="inlineStr">
        <is>
          <t>1 + 2 + 3</t>
        </is>
      </c>
      <c r="C8" s="24">
        <f>C5+C6+C7</f>
        <v/>
      </c>
      <c r="D8" s="25">
        <f>C8</f>
        <v/>
      </c>
      <c r="E8" s="23" t="inlineStr"/>
    </row>
    <row r="9">
      <c r="A9" s="19" t="inlineStr">
        <is>
          <t>5. With Overhead (GB)</t>
        </is>
      </c>
      <c r="B9" s="20" t="inlineStr">
        <is>
          <t>Subtotal * CACHE_OVERHEAD_FACTOR</t>
        </is>
      </c>
      <c r="C9" s="21">
        <f>C8*CACHE_OVERHEAD_FACTOR</f>
        <v/>
      </c>
      <c r="D9" s="22">
        <f>C9</f>
        <v/>
      </c>
      <c r="E9" s="23" t="inlineStr"/>
    </row>
    <row r="10">
      <c r="A10" s="19" t="inlineStr">
        <is>
          <t>6. Per Shard (GB)</t>
        </is>
      </c>
      <c r="B10" s="20" t="inlineStr">
        <is>
          <t>ROUNDUP((Total / REDIS_SHARDS) * REDIS_HEADROOM, 0)</t>
        </is>
      </c>
      <c r="C10" s="21">
        <f>ROUNDUP((C9/REDIS_SHARDS)*REDIS_HEADROOM,0)</f>
        <v/>
      </c>
      <c r="D10" s="22">
        <f>C10</f>
        <v/>
      </c>
      <c r="E10" s="23" t="inlineStr"/>
    </row>
    <row r="11">
      <c r="A11" s="19" t="inlineStr">
        <is>
          <t>7. Total Cluster (GB)</t>
        </is>
      </c>
      <c r="B11" s="20" t="inlineStr">
        <is>
          <t>Per Shard * Shards</t>
        </is>
      </c>
      <c r="C11" s="21">
        <f>C10*REDIS_SHARDS</f>
        <v/>
      </c>
      <c r="D11" s="22">
        <f>C11</f>
        <v/>
      </c>
      <c r="E11" s="23" t="inlineStr"/>
    </row>
    <row r="13" ht="18" customHeight="1">
      <c r="A13" s="2" t="inlineStr">
        <is>
          <t>B. OPS</t>
        </is>
      </c>
    </row>
    <row r="14" ht="20" customHeight="1">
      <c r="A14" s="18" t="inlineStr">
        <is>
          <t>Step</t>
        </is>
      </c>
      <c r="B14" s="18" t="inlineStr">
        <is>
          <t>Formula (human-readable)</t>
        </is>
      </c>
      <c r="C14" s="18" t="inlineStr">
        <is>
          <t>Live Calculation</t>
        </is>
      </c>
      <c r="D14" s="18" t="inlineStr">
        <is>
          <t>Result</t>
        </is>
      </c>
      <c r="E14" s="18" t="inlineStr">
        <is>
          <t>Derivation Notes</t>
        </is>
      </c>
    </row>
    <row r="15">
      <c r="A15" s="19" t="inlineStr">
        <is>
          <t>8. Cache Ops/s</t>
        </is>
      </c>
      <c r="B15" s="20" t="inlineStr">
        <is>
          <t>Peak RPS * QUERIES_PER_API_CALL</t>
        </is>
      </c>
      <c r="C15" s="24">
        <f>Peak_RPS*QUERIES_PER_API_CALL</f>
        <v/>
      </c>
      <c r="D15" s="25">
        <f>C15</f>
        <v/>
      </c>
      <c r="E15" s="23" t="inlineStr"/>
    </row>
    <row r="16">
      <c r="A16" s="19" t="inlineStr">
        <is>
          <t>9. Cache Hit Ops</t>
        </is>
      </c>
      <c r="B16" s="20" t="inlineStr">
        <is>
          <t>Ops * CACHE_HIT_PCT/100</t>
        </is>
      </c>
      <c r="C16" s="24">
        <f>C15*CACHE_HIT_PCT/100</f>
        <v/>
      </c>
      <c r="D16" s="25">
        <f>C16</f>
        <v/>
      </c>
      <c r="E16" s="23" t="inlineStr"/>
    </row>
    <row r="17">
      <c r="A17" s="19" t="inlineStr">
        <is>
          <t>10. Required Nodes</t>
        </is>
      </c>
      <c r="B17" s="20" t="inlineStr">
        <is>
          <t>MAX(3, ROUNDUP(Ops / REDIS_OPS_PER_NODE, 0))</t>
        </is>
      </c>
      <c r="C17" s="21">
        <f>MAX(3,ROUNDUP(C15/REDIS_OPS_PER_NODE,0))</f>
        <v/>
      </c>
      <c r="D17" s="22">
        <f>C17</f>
        <v/>
      </c>
      <c r="E17" s="23" t="inlineStr"/>
    </row>
    <row r="19" ht="18" customHeight="1">
      <c r="A19" s="2" t="inlineStr">
        <is>
          <t>C. CONFIG (info)</t>
        </is>
      </c>
    </row>
    <row r="20">
      <c r="A20" s="37" t="inlineStr">
        <is>
          <t>- Eviction: allkeys-lru (product catalog) / volatile-ttl (sessions)</t>
        </is>
      </c>
    </row>
    <row r="21">
      <c r="A21" s="37" t="inlineStr">
        <is>
          <t>- Persistence: AOF everysec</t>
        </is>
      </c>
    </row>
    <row r="22">
      <c r="A22" s="37" t="inlineStr">
        <is>
          <t>- Cluster mode: 3 shards x 1 replica each</t>
        </is>
      </c>
    </row>
    <row r="23">
      <c r="A23" s="37" t="inlineStr">
        <is>
          <t>- Failover: Sentinel, target &lt;10s promotion</t>
        </is>
      </c>
    </row>
    <row r="25" ht="60" customHeight="1">
      <c r="A25" s="26" t="inlineStr">
        <is>
          <t>🎤 INTERVIEW TALK TRACK:  Sessions, full catalog and hot SKUs together need under 10GB before overhead -- small enough that 3 shards with 1.5x headroom comfortably fit on cache.r6g.xlarge nodes. At 95% hit rate we're serving roughly 20k ops/sec from cache, well inside one node's 100k ops/sec ceiling; the 3-node minimum is purely for HA.</t>
        </is>
      </c>
    </row>
  </sheetData>
  <mergeCells count="9">
    <mergeCell ref="A21:E21"/>
    <mergeCell ref="A20:E20"/>
    <mergeCell ref="A25:E25"/>
    <mergeCell ref="A19:E19"/>
    <mergeCell ref="A1:E1"/>
    <mergeCell ref="A23:E23"/>
    <mergeCell ref="A13:E13"/>
    <mergeCell ref="A22:E22"/>
    <mergeCell ref="A3:E3"/>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E50"/>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2" customWidth="1" min="5" max="5"/>
  </cols>
  <sheetData>
    <row r="1" ht="26" customHeight="1">
      <c r="A1" s="1" t="inlineStr">
        <is>
          <t>11 - DLQ, Error Topics &amp; Reprocess Logic</t>
        </is>
      </c>
    </row>
    <row r="3" ht="18" customHeight="1">
      <c r="A3" s="2" t="inlineStr">
        <is>
          <t>A. RETRY &amp; BACKOFF</t>
        </is>
      </c>
    </row>
    <row r="4" ht="20" customHeight="1">
      <c r="A4" s="18" t="inlineStr">
        <is>
          <t>Step</t>
        </is>
      </c>
      <c r="B4" s="18" t="inlineStr">
        <is>
          <t>Formula (human-readable)</t>
        </is>
      </c>
      <c r="C4" s="18" t="inlineStr">
        <is>
          <t>Live Calculation</t>
        </is>
      </c>
      <c r="D4" s="18" t="inlineStr">
        <is>
          <t>Result</t>
        </is>
      </c>
      <c r="E4" s="18" t="inlineStr">
        <is>
          <t>Derivation Notes</t>
        </is>
      </c>
    </row>
    <row r="5">
      <c r="A5" s="19" t="inlineStr">
        <is>
          <t>1. Retry Tier 1 delay (s)</t>
        </is>
      </c>
      <c r="B5" s="20" t="inlineStr">
        <is>
          <t>Retry_Backoff_Base_sec</t>
        </is>
      </c>
      <c r="C5" s="24">
        <f>Retry_Backoff_Base_sec</f>
        <v/>
      </c>
      <c r="D5" s="25">
        <f>C5</f>
        <v/>
      </c>
      <c r="E5" s="23" t="inlineStr"/>
    </row>
    <row r="6">
      <c r="A6" s="19" t="inlineStr">
        <is>
          <t>2. Retry Tier 2 delay (s)</t>
        </is>
      </c>
      <c r="B6" s="20" t="inlineStr">
        <is>
          <t>Base * Multiplier</t>
        </is>
      </c>
      <c r="C6" s="24">
        <f>Retry_Backoff_Base_sec*Retry_Backoff_Multiplier</f>
        <v/>
      </c>
      <c r="D6" s="25">
        <f>C6</f>
        <v/>
      </c>
      <c r="E6" s="23" t="inlineStr"/>
    </row>
    <row r="7">
      <c r="A7" s="19" t="inlineStr">
        <is>
          <t>3. Retry Tier 3 delay (s)</t>
        </is>
      </c>
      <c r="B7" s="20" t="inlineStr">
        <is>
          <t>Base * Multiplier^2</t>
        </is>
      </c>
      <c r="C7" s="24">
        <f>Retry_Backoff_Base_sec*Retry_Backoff_Multiplier^2</f>
        <v/>
      </c>
      <c r="D7" s="25">
        <f>C7</f>
        <v/>
      </c>
      <c r="E7" s="23" t="inlineStr"/>
    </row>
    <row r="8">
      <c r="A8" s="19" t="inlineStr">
        <is>
          <t>4. Retry Tier 4 delay (s)</t>
        </is>
      </c>
      <c r="B8" s="20" t="inlineStr">
        <is>
          <t>Base * Multiplier^3</t>
        </is>
      </c>
      <c r="C8" s="24">
        <f>Retry_Backoff_Base_sec*Retry_Backoff_Multiplier^3</f>
        <v/>
      </c>
      <c r="D8" s="25">
        <f>C8</f>
        <v/>
      </c>
      <c r="E8" s="23" t="inlineStr"/>
    </row>
    <row r="9">
      <c r="A9" s="19" t="inlineStr">
        <is>
          <t>5. Total Retry Time (s)</t>
        </is>
      </c>
      <c r="B9" s="20" t="inlineStr">
        <is>
          <t>SUM of tiers 1-4</t>
        </is>
      </c>
      <c r="C9" s="21">
        <f>C5+C6+C7+C8</f>
        <v/>
      </c>
      <c r="D9" s="22">
        <f>C9</f>
        <v/>
      </c>
      <c r="E9" s="23" t="inlineStr"/>
    </row>
    <row r="10">
      <c r="A10" s="19" t="inlineStr">
        <is>
          <t>6. Failure Rate Reaching DLQ (%)</t>
        </is>
      </c>
      <c r="B10" s="20" t="inlineStr">
        <is>
          <t>1 - (0.99^Max_Retries) * 100  [99% per-attempt success]</t>
        </is>
      </c>
      <c r="C10" s="21">
        <f>(1-0.99^Max_Retries)*100</f>
        <v/>
      </c>
      <c r="D10" s="22">
        <f>C10</f>
        <v/>
      </c>
      <c r="E10" s="23" t="inlineStr"/>
    </row>
    <row r="11">
      <c r="A11" s="19" t="inlineStr">
        <is>
          <t>7. DLQ Messages/day</t>
        </is>
      </c>
      <c r="B11" s="20" t="inlineStr">
        <is>
          <t>Daily Messages(=Daily_Requests) * Failure_Rate%</t>
        </is>
      </c>
      <c r="C11" s="21">
        <f>Daily_Requests*C10/100</f>
        <v/>
      </c>
      <c r="D11" s="22">
        <f>C11</f>
        <v/>
      </c>
      <c r="E11" s="23" t="inlineStr"/>
    </row>
    <row r="13" ht="18" customHeight="1">
      <c r="A13" s="2" t="inlineStr">
        <is>
          <t>B. TOPIC TOPOLOGY (info)</t>
        </is>
      </c>
    </row>
    <row r="14">
      <c r="A14" s="40" t="inlineStr">
        <is>
          <t>order.events -&gt; [consumer fails] -&gt; order.retry.5s -&gt; [fails] -&gt; order.retry.30s -&gt; [fails] -&gt; order.retry.5m -&gt; [fails] -&gt; order.dlq</t>
        </is>
      </c>
    </row>
    <row r="16" ht="18" customHeight="1">
      <c r="A16" s="2" t="inlineStr">
        <is>
          <t>C. DLQ MESSAGE SCHEMA (info)</t>
        </is>
      </c>
    </row>
    <row r="17">
      <c r="A17" s="37" t="inlineStr">
        <is>
          <t>{</t>
        </is>
      </c>
    </row>
    <row r="18">
      <c r="A18" s="37" t="inlineStr">
        <is>
          <t xml:space="preserve">  "originalTopic": "order.events",</t>
        </is>
      </c>
    </row>
    <row r="19">
      <c r="A19" s="37" t="inlineStr">
        <is>
          <t xml:space="preserve">  "originalPartition": 7,</t>
        </is>
      </c>
    </row>
    <row r="20">
      <c r="A20" s="37" t="inlineStr">
        <is>
          <t xml:space="preserve">  "originalOffset": 1234567,</t>
        </is>
      </c>
    </row>
    <row r="21">
      <c r="A21" s="37" t="inlineStr">
        <is>
          <t xml:space="preserve">  "originalMessage": {...},</t>
        </is>
      </c>
    </row>
    <row r="22">
      <c r="A22" s="37" t="inlineStr">
        <is>
          <t xml:space="preserve">  "errorType": "INVENTORY_SERVICE_TIMEOUT",</t>
        </is>
      </c>
    </row>
    <row r="23">
      <c r="A23" s="37" t="inlineStr">
        <is>
          <t xml:space="preserve">  "errorMessage": "...",</t>
        </is>
      </c>
    </row>
    <row r="24">
      <c r="A24" s="37" t="inlineStr">
        <is>
          <t xml:space="preserve">  "attemptCount": 4,</t>
        </is>
      </c>
    </row>
    <row r="25">
      <c r="A25" s="37" t="inlineStr">
        <is>
          <t xml:space="preserve">  "firstAttemptAt": "2026-09-10T10:00:00Z",</t>
        </is>
      </c>
    </row>
    <row r="26">
      <c r="A26" s="37" t="inlineStr">
        <is>
          <t xml:space="preserve">  "lastAttemptAt": "2026-09-10T10:01:15Z",</t>
        </is>
      </c>
    </row>
    <row r="27">
      <c r="A27" s="37" t="inlineStr">
        <is>
          <t xml:space="preserve">  "consumerGroup": "inventory-processor",</t>
        </is>
      </c>
    </row>
    <row r="28">
      <c r="A28" s="37" t="inlineStr">
        <is>
          <t xml:space="preserve">  "reprocessable": true</t>
        </is>
      </c>
    </row>
    <row r="29">
      <c r="A29" s="37" t="inlineStr">
        <is>
          <t>}</t>
        </is>
      </c>
    </row>
    <row r="31" ht="18" customHeight="1">
      <c r="A31" s="2" t="inlineStr">
        <is>
          <t>D. REPROCESS LOGIC</t>
        </is>
      </c>
    </row>
    <row r="32" ht="20" customHeight="1">
      <c r="A32" s="18" t="inlineStr">
        <is>
          <t>Step</t>
        </is>
      </c>
      <c r="B32" s="18" t="inlineStr">
        <is>
          <t>Formula (human-readable)</t>
        </is>
      </c>
      <c r="C32" s="18" t="inlineStr">
        <is>
          <t>Live Calculation</t>
        </is>
      </c>
      <c r="D32" s="18" t="inlineStr">
        <is>
          <t>Result</t>
        </is>
      </c>
      <c r="E32" s="18" t="inlineStr">
        <is>
          <t>Derivation Notes</t>
        </is>
      </c>
    </row>
    <row r="33">
      <c r="A33" s="19" t="inlineStr">
        <is>
          <t>8. Reprocess Batch Size</t>
        </is>
      </c>
      <c r="B33" s="20">
        <f> Reprocess_Batch_Size</f>
        <v/>
      </c>
      <c r="C33" s="24">
        <f>Reprocess_Batch_Size</f>
        <v/>
      </c>
      <c r="D33" s="25">
        <f>C33</f>
        <v/>
      </c>
      <c r="E33" s="23" t="inlineStr"/>
    </row>
    <row r="34">
      <c r="A34" s="19" t="inlineStr">
        <is>
          <t>9. Reprocess Workers</t>
        </is>
      </c>
      <c r="B34" s="20" t="inlineStr">
        <is>
          <t>Fixed</t>
        </is>
      </c>
      <c r="C34" s="27">
        <f>4</f>
        <v/>
      </c>
      <c r="D34" s="28">
        <f>C34</f>
        <v/>
      </c>
      <c r="E34" s="23" t="inlineStr"/>
    </row>
    <row r="35">
      <c r="A35" s="19" t="inlineStr">
        <is>
          <t>10. Reprocess Throughput (msgs/min)</t>
        </is>
      </c>
      <c r="B35" s="20" t="inlineStr">
        <is>
          <t>Batch * Workers / Interval</t>
        </is>
      </c>
      <c r="C35" s="24">
        <f>Reprocess_Batch_Size*C34/Reprocess_Interval_min</f>
        <v/>
      </c>
      <c r="D35" s="25">
        <f>C35</f>
        <v/>
      </c>
      <c r="E35" s="23" t="inlineStr"/>
    </row>
    <row r="36">
      <c r="A36" s="19" t="inlineStr">
        <is>
          <t>11. Full DLQ Drain Time (hours)</t>
        </is>
      </c>
      <c r="B36" s="20" t="inlineStr">
        <is>
          <t>DLQ Messages/day / Throughput / 60</t>
        </is>
      </c>
      <c r="C36" s="21">
        <f>DLQ_Msgs_Per_Day/C35/60</f>
        <v/>
      </c>
      <c r="D36" s="22">
        <f>C36</f>
        <v/>
      </c>
      <c r="E36" s="23" t="inlineStr"/>
    </row>
    <row r="37">
      <c r="A37" s="19" t="inlineStr">
        <is>
          <t>12. Manual Approval Threshold</t>
        </is>
      </c>
      <c r="B37" s="20" t="inlineStr">
        <is>
          <t>&gt;100 msgs requires on-call sign-off</t>
        </is>
      </c>
      <c r="C37" s="27">
        <f>100</f>
        <v/>
      </c>
      <c r="D37" s="28">
        <f>C37</f>
        <v/>
      </c>
      <c r="E37" s="23" t="inlineStr"/>
    </row>
    <row r="39" ht="18" customHeight="1">
      <c r="A39" s="2" t="inlineStr">
        <is>
          <t>E. CONSUMER SIDE (info)</t>
        </is>
      </c>
    </row>
    <row r="40">
      <c r="A40" s="37" t="inlineStr">
        <is>
          <t>- enable.auto.commit=false; manual offset commit AFTER successful processing</t>
        </is>
      </c>
    </row>
    <row r="41">
      <c r="A41" s="37" t="inlineStr">
        <is>
          <t>- On failure: publish to retry topic, do not advance main-topic offset</t>
        </is>
      </c>
    </row>
    <row r="42">
      <c r="A42" s="37" t="inlineStr">
        <is>
          <t>- Poison-pill detection: same error 3x in a row -&gt; auto-route to DLQ</t>
        </is>
      </c>
    </row>
    <row r="44" ht="18" customHeight="1">
      <c r="A44" s="2" t="inlineStr">
        <is>
          <t>F. MONITORING (info)</t>
        </is>
      </c>
    </row>
    <row r="45">
      <c r="A45" s="37" t="inlineStr">
        <is>
          <t>- DLQ depth: alert &gt; 100</t>
        </is>
      </c>
    </row>
    <row r="46">
      <c r="A46" s="37" t="inlineStr">
        <is>
          <t>- Retry-topic depth: alert &gt; 1,000</t>
        </is>
      </c>
    </row>
    <row r="47">
      <c r="A47" s="37" t="inlineStr">
        <is>
          <t>- Consumer lag: alert &gt; 10,000</t>
        </is>
      </c>
    </row>
    <row r="48">
      <c r="A48" s="37" t="inlineStr">
        <is>
          <t>- Error rate by type: dashboard panel</t>
        </is>
      </c>
    </row>
    <row r="50" ht="60" customHeight="1">
      <c r="A50" s="26" t="inlineStr">
        <is>
          <t>🎤 INTERVIEW TALK TRACK:  We use tiered retries -- 5s, 10s, 20s, 40s -- before a message hits the DLQ. With a 99% per-attempt success rate, well under 1% of messages ever reach DLQ. On-call reprocesses in 1,000-message batches every 15 minutes, and every DLQ message carries the original offset, partition and stack trace so replay is safe and traceable.</t>
        </is>
      </c>
    </row>
  </sheetData>
  <mergeCells count="29">
    <mergeCell ref="A39:E39"/>
    <mergeCell ref="A48:E48"/>
    <mergeCell ref="A24:E24"/>
    <mergeCell ref="A1:E1"/>
    <mergeCell ref="A45:E45"/>
    <mergeCell ref="A16:E16"/>
    <mergeCell ref="A25:E25"/>
    <mergeCell ref="A41:E41"/>
    <mergeCell ref="A46:E46"/>
    <mergeCell ref="A18:E18"/>
    <mergeCell ref="A27:E27"/>
    <mergeCell ref="A3:E3"/>
    <mergeCell ref="A21:E21"/>
    <mergeCell ref="A50:E50"/>
    <mergeCell ref="A26:E26"/>
    <mergeCell ref="A42:E42"/>
    <mergeCell ref="A47:E47"/>
    <mergeCell ref="A23:E23"/>
    <mergeCell ref="A14:E14"/>
    <mergeCell ref="A22:E22"/>
    <mergeCell ref="A17:E17"/>
    <mergeCell ref="A29:E29"/>
    <mergeCell ref="A20:E20"/>
    <mergeCell ref="A28:E28"/>
    <mergeCell ref="A19:E19"/>
    <mergeCell ref="A13:E13"/>
    <mergeCell ref="A31:E31"/>
    <mergeCell ref="A44:E44"/>
    <mergeCell ref="A40:E40"/>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E49"/>
  <sheetViews>
    <sheetView workbookViewId="0">
      <selection activeCell="A1" sqref="A1"/>
    </sheetView>
  </sheetViews>
  <sheetFormatPr baseColWidth="8" defaultRowHeight="15"/>
  <cols>
    <col width="24" customWidth="1" min="1" max="1"/>
    <col width="12" customWidth="1" min="2" max="2"/>
    <col width="18" customWidth="1" min="3" max="3"/>
    <col width="14" customWidth="1" min="4" max="4"/>
    <col width="20" customWidth="1" min="5" max="5"/>
  </cols>
  <sheetData>
    <row r="1" ht="26" customHeight="1">
      <c r="A1" s="1" t="inlineStr">
        <is>
          <t>12 - Traffic Spikes &amp; DDoS</t>
        </is>
      </c>
    </row>
    <row r="3" ht="18" customHeight="1">
      <c r="A3" s="2" t="inlineStr">
        <is>
          <t>A. SPIKE SCENARIOS</t>
        </is>
      </c>
    </row>
    <row r="4" ht="20" customHeight="1">
      <c r="A4" s="29" t="inlineStr">
        <is>
          <t>Scenario</t>
        </is>
      </c>
      <c r="B4" s="29" t="inlineStr">
        <is>
          <t>Multiplier</t>
        </is>
      </c>
      <c r="C4" s="29" t="inlineStr">
        <is>
          <t>Peak RPS</t>
        </is>
      </c>
      <c r="D4" s="29" t="inlineStr">
        <is>
          <t>Duration</t>
        </is>
      </c>
      <c r="E4" s="29" t="inlineStr">
        <is>
          <t>Trigger</t>
        </is>
      </c>
    </row>
    <row r="5">
      <c r="A5" s="30" t="inlineStr">
        <is>
          <t>Normal</t>
        </is>
      </c>
      <c r="B5" s="30" t="n">
        <v>1</v>
      </c>
      <c r="C5" s="31">
        <f>Peak_RPS*B5</f>
        <v/>
      </c>
      <c r="D5" s="30" t="inlineStr">
        <is>
          <t>24h</t>
        </is>
      </c>
      <c r="E5" s="30" t="inlineStr">
        <is>
          <t>baseline</t>
        </is>
      </c>
    </row>
    <row r="6">
      <c r="A6" s="30" t="inlineStr">
        <is>
          <t>Flash Sale</t>
        </is>
      </c>
      <c r="B6" s="30" t="n">
        <v>5</v>
      </c>
      <c r="C6" s="31">
        <f>Peak_RPS*B6</f>
        <v/>
      </c>
      <c r="D6" s="30" t="inlineStr">
        <is>
          <t>1h</t>
        </is>
      </c>
      <c r="E6" s="30" t="inlineStr">
        <is>
          <t>scheduled promo</t>
        </is>
      </c>
    </row>
    <row r="7">
      <c r="A7" s="30" t="inlineStr">
        <is>
          <t>Black Friday</t>
        </is>
      </c>
      <c r="B7" s="30" t="n">
        <v>10</v>
      </c>
      <c r="C7" s="31">
        <f>Peak_RPS*B7</f>
        <v/>
      </c>
      <c r="D7" s="30" t="inlineStr">
        <is>
          <t>6h</t>
        </is>
      </c>
      <c r="E7" s="30" t="inlineStr">
        <is>
          <t>annual</t>
        </is>
      </c>
    </row>
    <row r="8">
      <c r="A8" s="30" t="inlineStr">
        <is>
          <t>Cyber Monday</t>
        </is>
      </c>
      <c r="B8" s="30" t="n">
        <v>15</v>
      </c>
      <c r="C8" s="31">
        <f>Peak_RPS*B8</f>
        <v/>
      </c>
      <c r="D8" s="30" t="inlineStr">
        <is>
          <t>8h</t>
        </is>
      </c>
      <c r="E8" s="30" t="inlineStr">
        <is>
          <t>annual</t>
        </is>
      </c>
    </row>
    <row r="9">
      <c r="A9" s="30" t="inlineStr">
        <is>
          <t>Product-Hunt effect</t>
        </is>
      </c>
      <c r="B9" s="30" t="n">
        <v>50</v>
      </c>
      <c r="C9" s="31">
        <f>Peak_RPS*B9</f>
        <v/>
      </c>
      <c r="D9" s="30" t="inlineStr">
        <is>
          <t>2h</t>
        </is>
      </c>
      <c r="E9" s="30" t="inlineStr">
        <is>
          <t>virality</t>
        </is>
      </c>
    </row>
    <row r="10">
      <c r="A10" s="30" t="inlineStr">
        <is>
          <t>DDoS</t>
        </is>
      </c>
      <c r="B10" s="30" t="n">
        <v>100</v>
      </c>
      <c r="C10" s="31">
        <f>DDoS_Peak_RPS</f>
        <v/>
      </c>
      <c r="D10" s="30" t="inlineStr">
        <is>
          <t>burst</t>
        </is>
      </c>
      <c r="E10" s="30" t="inlineStr">
        <is>
          <t>malicious</t>
        </is>
      </c>
    </row>
    <row r="12" ht="18" customHeight="1">
      <c r="A12" s="2" t="inlineStr">
        <is>
          <t>B. AUTO-SCALING MATH (Black Friday example)</t>
        </is>
      </c>
    </row>
    <row r="13" ht="20" customHeight="1">
      <c r="A13" s="18" t="inlineStr">
        <is>
          <t>Step</t>
        </is>
      </c>
      <c r="B13" s="18" t="inlineStr">
        <is>
          <t>Formula (human-readable)</t>
        </is>
      </c>
      <c r="C13" s="18" t="inlineStr">
        <is>
          <t>Live Calculation</t>
        </is>
      </c>
      <c r="D13" s="18" t="inlineStr">
        <is>
          <t>Result</t>
        </is>
      </c>
      <c r="E13" s="18" t="inlineStr">
        <is>
          <t>Derivation Notes</t>
        </is>
      </c>
    </row>
    <row r="14">
      <c r="A14" s="19" t="inlineStr">
        <is>
          <t>1. Target Instance Count</t>
        </is>
      </c>
      <c r="B14" s="20" t="inlineStr">
        <is>
          <t>ROUNDUP(Spike RPS / RPS_Per_App_Instance, 0)</t>
        </is>
      </c>
      <c r="C14" s="21">
        <f>ROUNDUP(Peak_RPS*Spike_Multiplier/RPS_Per_App_Instance,0)</f>
        <v/>
      </c>
      <c r="D14" s="22">
        <f>C14</f>
        <v/>
      </c>
      <c r="E14" s="23" t="inlineStr">
        <is>
          <t>Uses live Spike_Multiplier from scenario</t>
        </is>
      </c>
    </row>
    <row r="15">
      <c r="A15" s="19" t="inlineStr">
        <is>
          <t>2. Scale-Up Time (s)</t>
        </is>
      </c>
      <c r="B15" s="20" t="inlineStr">
        <is>
          <t>Cooldown + Provision(90) + Warmup(30)</t>
        </is>
      </c>
      <c r="C15" s="24">
        <f>Auto_Scale_Cooldown_sec+90+30</f>
        <v/>
      </c>
      <c r="D15" s="25">
        <f>C15</f>
        <v/>
      </c>
      <c r="E15" s="23" t="inlineStr"/>
    </row>
    <row r="16">
      <c r="A16" s="19" t="inlineStr">
        <is>
          <t>3. Requests During Scale-Up</t>
        </is>
      </c>
      <c r="B16" s="20" t="inlineStr">
        <is>
          <t>Spike RPS * Scale-Up Time</t>
        </is>
      </c>
      <c r="C16" s="33">
        <f>Peak_RPS*Spike_Multiplier*C15</f>
        <v/>
      </c>
      <c r="D16" s="34">
        <f>C16</f>
        <v/>
      </c>
      <c r="E16" s="23" t="inlineStr">
        <is>
          <t>Must be absorbed by pre-scaled buffer</t>
        </is>
      </c>
    </row>
    <row r="17">
      <c r="A17" s="19" t="inlineStr">
        <is>
          <t>4. Required Pre-Scale Instances</t>
        </is>
      </c>
      <c r="B17" s="20" t="inlineStr">
        <is>
          <t>ROUNDUP(Spike RPS / RPS_Per_App_Instance, 0)</t>
        </is>
      </c>
      <c r="C17" s="21">
        <f>ROUNDUP(Peak_RPS*Spike_Multiplier/RPS_Per_App_Instance,0)</f>
        <v/>
      </c>
      <c r="D17" s="22">
        <f>C17</f>
        <v/>
      </c>
      <c r="E17" s="23" t="inlineStr">
        <is>
          <t>Provision ahead of known events (Black Friday, flash sales)</t>
        </is>
      </c>
    </row>
    <row r="18">
      <c r="A18" s="19" t="inlineStr">
        <is>
          <t>5. HPA min pods</t>
        </is>
      </c>
      <c r="B18" s="20" t="inlineStr">
        <is>
          <t>Fixed policy</t>
        </is>
      </c>
      <c r="C18" s="27">
        <f>6</f>
        <v/>
      </c>
      <c r="D18" s="28">
        <f>C18</f>
        <v/>
      </c>
      <c r="E18" s="23" t="inlineStr"/>
    </row>
    <row r="19">
      <c r="A19" s="19" t="inlineStr">
        <is>
          <t>6. HPA max pods</t>
        </is>
      </c>
      <c r="B19" s="20" t="inlineStr">
        <is>
          <t>Fixed policy</t>
        </is>
      </c>
      <c r="C19" s="27">
        <f>60</f>
        <v/>
      </c>
      <c r="D19" s="28">
        <f>C19</f>
        <v/>
      </c>
      <c r="E19" s="23" t="inlineStr"/>
    </row>
    <row r="20">
      <c r="A20" s="19" t="inlineStr">
        <is>
          <t>7. HPA target CPU %</t>
        </is>
      </c>
      <c r="B20" s="20">
        <f> Auto_Scale_Trigger_CPU</f>
        <v/>
      </c>
      <c r="C20" s="24">
        <f>Auto_Scale_Trigger_CPU</f>
        <v/>
      </c>
      <c r="D20" s="25">
        <f>C20</f>
        <v/>
      </c>
      <c r="E20" s="23" t="inlineStr"/>
    </row>
    <row r="22" ht="18" customHeight="1">
      <c r="A22" s="2" t="inlineStr">
        <is>
          <t>C. LOAD SHEDDING</t>
        </is>
      </c>
    </row>
    <row r="23" ht="20" customHeight="1">
      <c r="A23" s="18" t="inlineStr">
        <is>
          <t>Step</t>
        </is>
      </c>
      <c r="B23" s="18" t="inlineStr">
        <is>
          <t>Formula (human-readable)</t>
        </is>
      </c>
      <c r="C23" s="18" t="inlineStr">
        <is>
          <t>Live Calculation</t>
        </is>
      </c>
      <c r="D23" s="18" t="inlineStr">
        <is>
          <t>Result</t>
        </is>
      </c>
      <c r="E23" s="18" t="inlineStr">
        <is>
          <t>Derivation Notes</t>
        </is>
      </c>
    </row>
    <row r="24">
      <c r="A24" s="19" t="inlineStr">
        <is>
          <t>8. Shed Threshold RPS</t>
        </is>
      </c>
      <c r="B24" s="20" t="inlineStr">
        <is>
          <t>Total_RPS_Capacity * Load_Shed_Threshold_Pct/100</t>
        </is>
      </c>
      <c r="C24" s="21">
        <f>Total_RPS_Capacity*Load_Shed_Threshold_Pct/100</f>
        <v/>
      </c>
      <c r="D24" s="22">
        <f>C24</f>
        <v/>
      </c>
      <c r="E24" s="23" t="inlineStr"/>
    </row>
    <row r="26" ht="20" customHeight="1">
      <c r="A26" s="29" t="inlineStr">
        <is>
          <t>Priority</t>
        </is>
      </c>
      <c r="B26" s="29" t="inlineStr">
        <is>
          <t>Sheds at</t>
        </is>
      </c>
      <c r="C26" s="29" t="inlineStr">
        <is>
          <t>Services</t>
        </is>
      </c>
      <c r="D26" s="29" t="inlineStr"/>
      <c r="E26" s="29" t="inlineStr"/>
    </row>
    <row r="27">
      <c r="A27" s="30" t="inlineStr">
        <is>
          <t>P1 - NEVER shed</t>
        </is>
      </c>
      <c r="B27" s="30" t="inlineStr">
        <is>
          <t>n/a</t>
        </is>
      </c>
      <c r="C27" s="30" t="inlineStr">
        <is>
          <t>Payment, Order creation</t>
        </is>
      </c>
    </row>
    <row r="28">
      <c r="A28" s="30" t="inlineStr">
        <is>
          <t>P2 - shed last</t>
        </is>
      </c>
      <c r="B28" s="30" t="inlineStr">
        <is>
          <t>95% capacity</t>
        </is>
      </c>
      <c r="C28" s="30" t="inlineStr">
        <is>
          <t>Cart, Checkout</t>
        </is>
      </c>
    </row>
    <row r="29">
      <c r="A29" s="30" t="inlineStr">
        <is>
          <t>P3</t>
        </is>
      </c>
      <c r="B29" s="30" t="inlineStr">
        <is>
          <t>80% capacity</t>
        </is>
      </c>
      <c r="C29" s="30" t="inlineStr">
        <is>
          <t>Search, Recommendations</t>
        </is>
      </c>
    </row>
    <row r="30">
      <c r="A30" s="30" t="inlineStr">
        <is>
          <t>P4</t>
        </is>
      </c>
      <c r="B30" s="30" t="inlineStr">
        <is>
          <t>70% capacity</t>
        </is>
      </c>
      <c r="C30" s="30" t="inlineStr">
        <is>
          <t>Reviews, Ratings</t>
        </is>
      </c>
    </row>
    <row r="31">
      <c r="A31" s="30" t="inlineStr">
        <is>
          <t>P5 - shed first</t>
        </is>
      </c>
      <c r="B31" s="30" t="inlineStr">
        <is>
          <t>60% capacity</t>
        </is>
      </c>
      <c r="C31" s="30" t="inlineStr">
        <is>
          <t>Analytics, Personalization</t>
        </is>
      </c>
    </row>
    <row r="33" ht="18" customHeight="1">
      <c r="A33" s="2" t="inlineStr">
        <is>
          <t>D. DDOS MITIGATION LAYERS (info)</t>
        </is>
      </c>
    </row>
    <row r="34">
      <c r="A34" s="37" t="inlineStr">
        <is>
          <t>- L1: CloudFront/Cloudflare edge scrubbing (100+ Tbps absorption capacity)</t>
        </is>
      </c>
    </row>
    <row r="35">
      <c r="A35" s="37" t="inlineStr">
        <is>
          <t>- L2: WAF rules (SQLi, XSS, bad-bot, rate-based)</t>
        </is>
      </c>
    </row>
    <row r="36">
      <c r="A36" s="37" t="inlineStr">
        <is>
          <t>- L3: NLB with SYN-flood protection</t>
        </is>
      </c>
    </row>
    <row r="37">
      <c r="A37" s="37" t="inlineStr">
        <is>
          <t>- L4: API Gateway rate limiting (Redis token bucket)</t>
        </is>
      </c>
    </row>
    <row r="38">
      <c r="A38" s="37" t="inlineStr">
        <is>
          <t>- L5: Service-mesh circuit breakers per backend</t>
        </is>
      </c>
    </row>
    <row r="39">
      <c r="A39" s="37" t="inlineStr">
        <is>
          <t>- L6: Backend bulkhead (max concurrent per service)</t>
        </is>
      </c>
    </row>
    <row r="40">
      <c r="A40" s="37" t="inlineStr">
        <is>
          <t>- L7: DB connection-pool limits (fail fast, don't queue)</t>
        </is>
      </c>
    </row>
    <row r="42" ht="18" customHeight="1">
      <c r="A42" s="2" t="inlineStr">
        <is>
          <t>E. CHAOS ENGINEERING (info)</t>
        </is>
      </c>
    </row>
    <row r="43">
      <c r="A43" s="37" t="inlineStr">
        <is>
          <t>- Weekly game days</t>
        </is>
      </c>
    </row>
    <row r="44">
      <c r="A44" s="37" t="inlineStr">
        <is>
          <t>- Kill a broker -&gt; verify RF failover</t>
        </is>
      </c>
    </row>
    <row r="45">
      <c r="A45" s="37" t="inlineStr">
        <is>
          <t>- Kill a Redis shard -&gt; verify Sentinel promotion</t>
        </is>
      </c>
    </row>
    <row r="46">
      <c r="A46" s="37" t="inlineStr">
        <is>
          <t>- Inject 500ms latency -&gt; verify timeouts fire</t>
        </is>
      </c>
    </row>
    <row r="47">
      <c r="A47" s="37" t="inlineStr">
        <is>
          <t>- Saturate DB connections -&gt; verify pool rejection, not hang</t>
        </is>
      </c>
    </row>
    <row r="49" ht="60" customHeight="1">
      <c r="A49" s="26" t="inlineStr">
        <is>
          <t>🎤 INTERVIEW TALK TRACK:  We handle Black Friday's 10x with pre-scaled HPA -- min 6, max 60 pods -- and priority-based load shedding where payment never sheds and analytics sheds first. Under an actual DDoS, CloudFront and the WAF absorb the bulk of it at the edge, long before traffic reaches our gateway.</t>
        </is>
      </c>
    </row>
  </sheetData>
  <mergeCells count="24">
    <mergeCell ref="A39:E39"/>
    <mergeCell ref="A34:E34"/>
    <mergeCell ref="C31:E31"/>
    <mergeCell ref="A49:E49"/>
    <mergeCell ref="A1:E1"/>
    <mergeCell ref="A45:E45"/>
    <mergeCell ref="A36:E36"/>
    <mergeCell ref="C27:E27"/>
    <mergeCell ref="A37:E37"/>
    <mergeCell ref="A46:E46"/>
    <mergeCell ref="A3:E3"/>
    <mergeCell ref="A12:E12"/>
    <mergeCell ref="C28:E28"/>
    <mergeCell ref="A42:E42"/>
    <mergeCell ref="A33:E33"/>
    <mergeCell ref="A47:E47"/>
    <mergeCell ref="C30:E30"/>
    <mergeCell ref="A22:E22"/>
    <mergeCell ref="A35:E35"/>
    <mergeCell ref="A43:E43"/>
    <mergeCell ref="A38:E38"/>
    <mergeCell ref="C29:E29"/>
    <mergeCell ref="A44:E44"/>
    <mergeCell ref="A40:E40"/>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30" customWidth="1" min="1" max="1"/>
    <col width="42" customWidth="1" min="2" max="2"/>
    <col width="20" customWidth="1" min="3" max="3"/>
    <col width="16" customWidth="1" min="4" max="4"/>
    <col width="40" customWidth="1" min="5" max="5"/>
  </cols>
  <sheetData>
    <row r="1" ht="26" customHeight="1">
      <c r="A1" s="1" t="inlineStr">
        <is>
          <t>13 - Observability</t>
        </is>
      </c>
    </row>
    <row r="3" ht="20" customHeight="1">
      <c r="A3" s="18" t="inlineStr">
        <is>
          <t>Step</t>
        </is>
      </c>
      <c r="B3" s="18" t="inlineStr">
        <is>
          <t>Formula (human-readable)</t>
        </is>
      </c>
      <c r="C3" s="18" t="inlineStr">
        <is>
          <t>Live Calculation</t>
        </is>
      </c>
      <c r="D3" s="18" t="inlineStr">
        <is>
          <t>Result</t>
        </is>
      </c>
      <c r="E3" s="18" t="inlineStr">
        <is>
          <t>Derivation Notes</t>
        </is>
      </c>
    </row>
    <row r="4">
      <c r="A4" s="19" t="inlineStr">
        <is>
          <t>1. Metrics Data Points/day</t>
        </is>
      </c>
      <c r="B4" s="20" t="inlineStr">
        <is>
          <t>Peak RPS * 100 metrics/req * 86400</t>
        </is>
      </c>
      <c r="C4" s="24">
        <f>Peak_RPS*100*86400</f>
        <v/>
      </c>
      <c r="D4" s="25">
        <f>C4</f>
        <v/>
      </c>
      <c r="E4" s="23" t="inlineStr"/>
    </row>
    <row r="5">
      <c r="A5" s="19" t="inlineStr">
        <is>
          <t>2. Metrics Storage (GB)</t>
        </is>
      </c>
      <c r="B5" s="20" t="inlineStr">
        <is>
          <t>Points * 8 bytes / 1024^3</t>
        </is>
      </c>
      <c r="C5" s="21">
        <f>C4*8/1024^3</f>
        <v/>
      </c>
      <c r="D5" s="22">
        <f>C5</f>
        <v/>
      </c>
      <c r="E5" s="23" t="inlineStr"/>
    </row>
    <row r="6">
      <c r="A6" s="19" t="inlineStr">
        <is>
          <t>3. Logs (GB/day)</t>
        </is>
      </c>
      <c r="B6" s="20" t="inlineStr">
        <is>
          <t>Daily Requests * Log_Size_Per_Request_KB / 1024 / 1024</t>
        </is>
      </c>
      <c r="C6" s="24">
        <f>Daily_Requests*Log_Size_Per_Request_KB/1024/1024</f>
        <v/>
      </c>
      <c r="D6" s="25">
        <f>C6</f>
        <v/>
      </c>
      <c r="E6" s="23" t="inlineStr"/>
    </row>
    <row r="7">
      <c r="A7" s="19" t="inlineStr">
        <is>
          <t>4. Logs Storage (GB, 30d retention)</t>
        </is>
      </c>
      <c r="B7" s="20" t="inlineStr">
        <is>
          <t>Logs/day * Log_Retention_Days</t>
        </is>
      </c>
      <c r="C7" s="21">
        <f>C6*Log_Retention_Days</f>
        <v/>
      </c>
      <c r="D7" s="22">
        <f>C7</f>
        <v/>
      </c>
      <c r="E7" s="23" t="inlineStr"/>
    </row>
    <row r="8">
      <c r="A8" s="19" t="inlineStr">
        <is>
          <t>5. Traces (GB/day)</t>
        </is>
      </c>
      <c r="B8" s="20" t="inlineStr">
        <is>
          <t>Daily Requests * Trace_Sample_Rate_Pct/100 * 5KB / 1024 / 1024</t>
        </is>
      </c>
      <c r="C8" s="24">
        <f>Daily_Requests*Trace_Sample_Rate_Pct/100*5/1024/1024</f>
        <v/>
      </c>
      <c r="D8" s="25">
        <f>C8</f>
        <v/>
      </c>
      <c r="E8" s="23" t="inlineStr"/>
    </row>
    <row r="9">
      <c r="A9" s="19" t="inlineStr">
        <is>
          <t>6. Trace Storage (GB, 7d retention)</t>
        </is>
      </c>
      <c r="B9" s="20" t="inlineStr">
        <is>
          <t>Traces/day * 7</t>
        </is>
      </c>
      <c r="C9" s="21">
        <f>C8*7</f>
        <v/>
      </c>
      <c r="D9" s="22">
        <f>C9</f>
        <v/>
      </c>
      <c r="E9" s="23" t="inlineStr"/>
    </row>
    <row r="10">
      <c r="A10" s="19" t="inlineStr">
        <is>
          <t>7. Cardinality Alert</t>
        </is>
      </c>
      <c r="B10" s="20" t="inlineStr">
        <is>
          <t>IF(unique_labels &gt; 100k, "DANGER", "OK") -- manual check</t>
        </is>
      </c>
      <c r="C10" s="33">
        <f>"Check label cardinality manually per service"</f>
        <v/>
      </c>
      <c r="D10" s="34">
        <f>C10</f>
        <v/>
      </c>
      <c r="E10" s="23" t="inlineStr">
        <is>
          <t>High-cardinality labels (user_id, order_id) blow up Prometheus</t>
        </is>
      </c>
    </row>
    <row r="12" ht="18" customHeight="1">
      <c r="A12" s="2" t="inlineStr">
        <is>
          <t>STACK (info)</t>
        </is>
      </c>
    </row>
    <row r="13" ht="20" customHeight="1">
      <c r="A13" s="29" t="inlineStr">
        <is>
          <t>Layer</t>
        </is>
      </c>
      <c r="B13" s="29" t="inlineStr">
        <is>
          <t>Tool</t>
        </is>
      </c>
      <c r="C13" s="29" t="inlineStr"/>
      <c r="D13" s="29" t="inlineStr"/>
      <c r="E13" s="29" t="inlineStr"/>
    </row>
    <row r="14">
      <c r="A14" s="30" t="inlineStr">
        <is>
          <t>Metrics</t>
        </is>
      </c>
      <c r="B14" s="30" t="inlineStr">
        <is>
          <t>Prometheus + Thanos (long-term) + Grafana</t>
        </is>
      </c>
    </row>
    <row r="15">
      <c r="A15" s="30" t="inlineStr">
        <is>
          <t>Logs</t>
        </is>
      </c>
      <c r="B15" s="30" t="inlineStr">
        <is>
          <t>Loki, or ELK (Elasticsearch+Logstash+Kibana)</t>
        </is>
      </c>
    </row>
    <row r="16">
      <c r="A16" s="30" t="inlineStr">
        <is>
          <t>Traces</t>
        </is>
      </c>
      <c r="B16" s="30" t="inlineStr">
        <is>
          <t>Jaeger or Tempo + OpenTelemetry SDK</t>
        </is>
      </c>
    </row>
    <row r="17">
      <c r="A17" s="30" t="inlineStr">
        <is>
          <t>APM (optional)</t>
        </is>
      </c>
      <c r="B17" s="30" t="inlineStr">
        <is>
          <t>Datadog or New Relic</t>
        </is>
      </c>
    </row>
    <row r="18">
      <c r="A18" s="30" t="inlineStr">
        <is>
          <t>Alerts</t>
        </is>
      </c>
      <c r="B18" s="30" t="inlineStr">
        <is>
          <t>AlertManager -&gt; PagerDuty</t>
        </is>
      </c>
    </row>
    <row r="20" ht="18" customHeight="1">
      <c r="A20" s="2" t="inlineStr">
        <is>
          <t>SLO TABLE</t>
        </is>
      </c>
    </row>
    <row r="21" ht="20" customHeight="1">
      <c r="A21" s="29" t="inlineStr">
        <is>
          <t>SLI</t>
        </is>
      </c>
      <c r="B21" s="29" t="inlineStr">
        <is>
          <t>Target</t>
        </is>
      </c>
      <c r="C21" s="29" t="inlineStr">
        <is>
          <t>Error Budget</t>
        </is>
      </c>
      <c r="D21" s="29" t="inlineStr">
        <is>
          <t>Alerting Threshold</t>
        </is>
      </c>
      <c r="E21" s="29" t="inlineStr"/>
    </row>
    <row r="22">
      <c r="A22" s="30" t="inlineStr">
        <is>
          <t>Availability</t>
        </is>
      </c>
      <c r="B22" s="30" t="inlineStr">
        <is>
          <t>99.95%</t>
        </is>
      </c>
      <c r="C22" s="30" t="inlineStr">
        <is>
          <t>21.6 min/month</t>
        </is>
      </c>
      <c r="D22" s="30" t="inlineStr">
        <is>
          <t>Fast burn: 14.4x budget in 1h</t>
        </is>
      </c>
    </row>
    <row r="23">
      <c r="A23" s="30" t="inlineStr">
        <is>
          <t>Latency P95</t>
        </is>
      </c>
      <c r="B23" s="30" t="inlineStr">
        <is>
          <t>&lt;200ms</t>
        </is>
      </c>
      <c r="C23" s="30" t="inlineStr">
        <is>
          <t>5% of requests may exceed</t>
        </is>
      </c>
      <c r="D23" s="30" t="inlineStr">
        <is>
          <t>&gt;250ms sustained 5 min</t>
        </is>
      </c>
    </row>
    <row r="24">
      <c r="A24" s="30" t="inlineStr">
        <is>
          <t>Error Rate</t>
        </is>
      </c>
      <c r="B24" s="30" t="inlineStr">
        <is>
          <t>&lt;0.1%</t>
        </is>
      </c>
      <c r="C24" s="30" t="inlineStr">
        <is>
          <t>1 in 1000 requests</t>
        </is>
      </c>
      <c r="D24" s="30" t="inlineStr">
        <is>
          <t>&gt;1% sustained 2 min</t>
        </is>
      </c>
    </row>
    <row r="25">
      <c r="A25" s="30" t="inlineStr">
        <is>
          <t>Kafka Consumer Lag</t>
        </is>
      </c>
      <c r="B25" s="30" t="inlineStr">
        <is>
          <t>&lt;10,000</t>
        </is>
      </c>
      <c r="C25" s="30" t="inlineStr">
        <is>
          <t>n/a</t>
        </is>
      </c>
      <c r="D25" s="30" t="inlineStr">
        <is>
          <t>&gt;50,000 sustained 10 min</t>
        </is>
      </c>
    </row>
    <row r="27" ht="60" customHeight="1">
      <c r="A27" s="26" t="inlineStr">
        <is>
          <t>🎤 INTERVIEW TALK TRACK:  At 1% trace sampling and 100 metrics per request, our observability footprint stays small -- single-digit GB per day for traces, tens of GB for logs. The SLO that actually drives paging decisions is the P95-latency fast-burn alert: if we're burning 14.4x our monthly error budget in an hour, on-call gets paged immediately.</t>
        </is>
      </c>
    </row>
  </sheetData>
  <mergeCells count="9">
    <mergeCell ref="B17:E17"/>
    <mergeCell ref="A12:E12"/>
    <mergeCell ref="B18:E18"/>
    <mergeCell ref="A20:E20"/>
    <mergeCell ref="B16:E16"/>
    <mergeCell ref="B15:E15"/>
    <mergeCell ref="A1:E1"/>
    <mergeCell ref="A27:E27"/>
    <mergeCell ref="B14:E14"/>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E27"/>
  <sheetViews>
    <sheetView workbookViewId="0">
      <selection activeCell="A1" sqref="A1"/>
    </sheetView>
  </sheetViews>
  <sheetFormatPr baseColWidth="8" defaultRowHeight="15"/>
  <cols>
    <col width="22" customWidth="1" min="1" max="1"/>
    <col width="20" customWidth="1" min="2" max="2"/>
    <col width="20" customWidth="1" min="3" max="3"/>
    <col width="20" customWidth="1" min="4" max="4"/>
    <col width="24" customWidth="1" min="5" max="5"/>
  </cols>
  <sheetData>
    <row r="1" ht="26" customHeight="1">
      <c r="A1" s="1" t="inlineStr">
        <is>
          <t>14 - Cloud Provider Mapping</t>
        </is>
      </c>
    </row>
    <row r="3" ht="20" customHeight="1">
      <c r="A3" s="29" t="inlineStr">
        <is>
          <t>Component</t>
        </is>
      </c>
      <c r="B3" s="29" t="inlineStr">
        <is>
          <t>AWS</t>
        </is>
      </c>
      <c r="C3" s="29" t="inlineStr">
        <is>
          <t>GCP</t>
        </is>
      </c>
      <c r="D3" s="29" t="inlineStr">
        <is>
          <t>Azure</t>
        </is>
      </c>
      <c r="E3" s="29" t="inlineStr">
        <is>
          <t>Self-Hosted / VPS</t>
        </is>
      </c>
    </row>
    <row r="4">
      <c r="A4" s="30" t="inlineStr">
        <is>
          <t>DNS</t>
        </is>
      </c>
      <c r="B4" s="41" t="inlineStr">
        <is>
          <t>Route53</t>
        </is>
      </c>
      <c r="C4" s="41" t="inlineStr">
        <is>
          <t>Cloud DNS</t>
        </is>
      </c>
      <c r="D4" s="41" t="inlineStr">
        <is>
          <t>Azure DNS</t>
        </is>
      </c>
      <c r="E4" s="41" t="inlineStr">
        <is>
          <t>BIND / PowerDNS</t>
        </is>
      </c>
    </row>
    <row r="5">
      <c r="A5" s="30" t="inlineStr">
        <is>
          <t>CDN</t>
        </is>
      </c>
      <c r="B5" s="41" t="inlineStr">
        <is>
          <t>CloudFront</t>
        </is>
      </c>
      <c r="C5" s="41" t="inlineStr">
        <is>
          <t>Cloud CDN</t>
        </is>
      </c>
      <c r="D5" s="41" t="inlineStr">
        <is>
          <t>Azure CDN</t>
        </is>
      </c>
      <c r="E5" s="41" t="inlineStr">
        <is>
          <t>Cloudflare (free tier)</t>
        </is>
      </c>
    </row>
    <row r="6">
      <c r="A6" s="30" t="inlineStr">
        <is>
          <t>WAF</t>
        </is>
      </c>
      <c r="B6" s="41" t="inlineStr">
        <is>
          <t>AWS WAF</t>
        </is>
      </c>
      <c r="C6" s="41" t="inlineStr">
        <is>
          <t>Cloud Armor</t>
        </is>
      </c>
      <c r="D6" s="41" t="inlineStr">
        <is>
          <t>Azure WAF</t>
        </is>
      </c>
      <c r="E6" s="41" t="inlineStr">
        <is>
          <t>ModSecurity + Nginx</t>
        </is>
      </c>
    </row>
    <row r="7">
      <c r="A7" s="30" t="inlineStr">
        <is>
          <t>Load Balancer L4</t>
        </is>
      </c>
      <c r="B7" s="41" t="inlineStr">
        <is>
          <t>NLB</t>
        </is>
      </c>
      <c r="C7" s="41" t="inlineStr">
        <is>
          <t>TCP Proxy LB</t>
        </is>
      </c>
      <c r="D7" s="41" t="inlineStr">
        <is>
          <t>Azure LB</t>
        </is>
      </c>
      <c r="E7" s="41" t="inlineStr">
        <is>
          <t>HAProxy / Nginx</t>
        </is>
      </c>
    </row>
    <row r="8">
      <c r="A8" s="30" t="inlineStr">
        <is>
          <t>Load Balancer L7</t>
        </is>
      </c>
      <c r="B8" s="41" t="inlineStr">
        <is>
          <t>ALB</t>
        </is>
      </c>
      <c r="C8" s="41" t="inlineStr">
        <is>
          <t>HTTP(S) LB</t>
        </is>
      </c>
      <c r="D8" s="41" t="inlineStr">
        <is>
          <t>App Gateway</t>
        </is>
      </c>
      <c r="E8" s="41" t="inlineStr">
        <is>
          <t>Traefik / Envoy</t>
        </is>
      </c>
    </row>
    <row r="9">
      <c r="A9" s="30" t="inlineStr">
        <is>
          <t>API Gateway</t>
        </is>
      </c>
      <c r="B9" s="41" t="inlineStr">
        <is>
          <t>API Gateway</t>
        </is>
      </c>
      <c r="C9" s="41" t="inlineStr">
        <is>
          <t>API Gateway</t>
        </is>
      </c>
      <c r="D9" s="41" t="inlineStr">
        <is>
          <t>API Management</t>
        </is>
      </c>
      <c r="E9" s="41" t="inlineStr">
        <is>
          <t>Kong / KrakenD</t>
        </is>
      </c>
    </row>
    <row r="10">
      <c r="A10" s="30" t="inlineStr">
        <is>
          <t>Container Orchestration</t>
        </is>
      </c>
      <c r="B10" s="41" t="inlineStr">
        <is>
          <t>EKS</t>
        </is>
      </c>
      <c r="C10" s="41" t="inlineStr">
        <is>
          <t>GKE</t>
        </is>
      </c>
      <c r="D10" s="41" t="inlineStr">
        <is>
          <t>AKS</t>
        </is>
      </c>
      <c r="E10" s="41" t="inlineStr">
        <is>
          <t>K3s / kubeadm</t>
        </is>
      </c>
    </row>
    <row r="11">
      <c r="A11" s="30" t="inlineStr">
        <is>
          <t>Service Mesh</t>
        </is>
      </c>
      <c r="B11" s="41" t="inlineStr">
        <is>
          <t>App Mesh</t>
        </is>
      </c>
      <c r="C11" s="41" t="inlineStr">
        <is>
          <t>Anthos Service Mesh</t>
        </is>
      </c>
      <c r="D11" s="41" t="inlineStr">
        <is>
          <t>Open Service Mesh</t>
        </is>
      </c>
      <c r="E11" s="41" t="inlineStr">
        <is>
          <t>Istio / Linkerd</t>
        </is>
      </c>
    </row>
    <row r="12">
      <c r="A12" s="30" t="inlineStr">
        <is>
          <t>Message Queue</t>
        </is>
      </c>
      <c r="B12" s="41" t="inlineStr">
        <is>
          <t>MSK (Kafka)</t>
        </is>
      </c>
      <c r="C12" s="41" t="inlineStr">
        <is>
          <t>Pub/Sub or Confluent</t>
        </is>
      </c>
      <c r="D12" s="41" t="inlineStr">
        <is>
          <t>Event Hubs</t>
        </is>
      </c>
      <c r="E12" s="41" t="inlineStr">
        <is>
          <t>Kafka on VMs</t>
        </is>
      </c>
    </row>
    <row r="13">
      <c r="A13" s="30" t="inlineStr">
        <is>
          <t>Database OLTP</t>
        </is>
      </c>
      <c r="B13" s="41" t="inlineStr">
        <is>
          <t>RDS / Aurora PG</t>
        </is>
      </c>
      <c r="C13" s="41" t="inlineStr">
        <is>
          <t>Cloud SQL</t>
        </is>
      </c>
      <c r="D13" s="41" t="inlineStr">
        <is>
          <t>Azure Database</t>
        </is>
      </c>
      <c r="E13" s="41" t="inlineStr">
        <is>
          <t>PostgreSQL on VM</t>
        </is>
      </c>
    </row>
    <row r="14">
      <c r="A14" s="30" t="inlineStr">
        <is>
          <t>Database NoSQL</t>
        </is>
      </c>
      <c r="B14" s="41" t="inlineStr">
        <is>
          <t>DynamoDB</t>
        </is>
      </c>
      <c r="C14" s="41" t="inlineStr">
        <is>
          <t>Firestore</t>
        </is>
      </c>
      <c r="D14" s="41" t="inlineStr">
        <is>
          <t>Cosmos DB</t>
        </is>
      </c>
      <c r="E14" s="41" t="inlineStr">
        <is>
          <t>Cassandra / MongoDB</t>
        </is>
      </c>
    </row>
    <row r="15">
      <c r="A15" s="30" t="inlineStr">
        <is>
          <t>Cache</t>
        </is>
      </c>
      <c r="B15" s="41" t="inlineStr">
        <is>
          <t>ElastiCache Redis</t>
        </is>
      </c>
      <c r="C15" s="41" t="inlineStr">
        <is>
          <t>Memorystore</t>
        </is>
      </c>
      <c r="D15" s="41" t="inlineStr">
        <is>
          <t>Azure Cache for Redis</t>
        </is>
      </c>
      <c r="E15" s="41" t="inlineStr">
        <is>
          <t>Redis on VM</t>
        </is>
      </c>
    </row>
    <row r="16">
      <c r="A16" s="30" t="inlineStr">
        <is>
          <t>Object Storage</t>
        </is>
      </c>
      <c r="B16" s="41" t="inlineStr">
        <is>
          <t>S3</t>
        </is>
      </c>
      <c r="C16" s="41" t="inlineStr">
        <is>
          <t>Cloud Storage</t>
        </is>
      </c>
      <c r="D16" s="41" t="inlineStr">
        <is>
          <t>Blob Storage</t>
        </is>
      </c>
      <c r="E16" s="41" t="inlineStr">
        <is>
          <t>MinIO / Ceph</t>
        </is>
      </c>
    </row>
    <row r="17">
      <c r="A17" s="30" t="inlineStr">
        <is>
          <t>Search</t>
        </is>
      </c>
      <c r="B17" s="41" t="inlineStr">
        <is>
          <t>OpenSearch</t>
        </is>
      </c>
      <c r="C17" s="41" t="inlineStr">
        <is>
          <t>Elastic Cloud</t>
        </is>
      </c>
      <c r="D17" s="41" t="inlineStr">
        <is>
          <t>Azure Cognitive Search</t>
        </is>
      </c>
      <c r="E17" s="41" t="inlineStr">
        <is>
          <t>Elasticsearch</t>
        </is>
      </c>
    </row>
    <row r="18">
      <c r="A18" s="30" t="inlineStr">
        <is>
          <t>Monitoring</t>
        </is>
      </c>
      <c r="B18" s="41" t="inlineStr">
        <is>
          <t>CloudWatch</t>
        </is>
      </c>
      <c r="C18" s="41" t="inlineStr">
        <is>
          <t>Cloud Ops (Monitoring)</t>
        </is>
      </c>
      <c r="D18" s="41" t="inlineStr">
        <is>
          <t>Azure Monitor</t>
        </is>
      </c>
      <c r="E18" s="41" t="inlineStr">
        <is>
          <t>Prometheus + Grafana</t>
        </is>
      </c>
    </row>
    <row r="19">
      <c r="A19" s="30" t="inlineStr">
        <is>
          <t>Logging</t>
        </is>
      </c>
      <c r="B19" s="41" t="inlineStr">
        <is>
          <t>CloudWatch Logs</t>
        </is>
      </c>
      <c r="C19" s="41" t="inlineStr">
        <is>
          <t>Cloud Logging</t>
        </is>
      </c>
      <c r="D19" s="41" t="inlineStr">
        <is>
          <t>Log Analytics</t>
        </is>
      </c>
      <c r="E19" s="41" t="inlineStr">
        <is>
          <t>Loki / ELK</t>
        </is>
      </c>
    </row>
    <row r="20">
      <c r="A20" s="30" t="inlineStr">
        <is>
          <t>Tracing</t>
        </is>
      </c>
      <c r="B20" s="41" t="inlineStr">
        <is>
          <t>X-Ray</t>
        </is>
      </c>
      <c r="C20" s="41" t="inlineStr">
        <is>
          <t>Cloud Trace</t>
        </is>
      </c>
      <c r="D20" s="41" t="inlineStr">
        <is>
          <t>App Insights</t>
        </is>
      </c>
      <c r="E20" s="41" t="inlineStr">
        <is>
          <t>Jaeger</t>
        </is>
      </c>
    </row>
    <row r="21">
      <c r="A21" s="30" t="inlineStr">
        <is>
          <t>Secrets</t>
        </is>
      </c>
      <c r="B21" s="41" t="inlineStr">
        <is>
          <t>Secrets Manager</t>
        </is>
      </c>
      <c r="C21" s="41" t="inlineStr">
        <is>
          <t>Secret Manager</t>
        </is>
      </c>
      <c r="D21" s="41" t="inlineStr">
        <is>
          <t>Key Vault</t>
        </is>
      </c>
      <c r="E21" s="41" t="inlineStr">
        <is>
          <t>HashiCorp Vault</t>
        </is>
      </c>
    </row>
    <row r="22">
      <c r="A22" s="30" t="inlineStr">
        <is>
          <t>CI/CD</t>
        </is>
      </c>
      <c r="B22" s="41" t="inlineStr">
        <is>
          <t>CodePipeline</t>
        </is>
      </c>
      <c r="C22" s="41" t="inlineStr">
        <is>
          <t>Cloud Build</t>
        </is>
      </c>
      <c r="D22" s="41" t="inlineStr">
        <is>
          <t>Azure DevOps</t>
        </is>
      </c>
      <c r="E22" s="41" t="inlineStr">
        <is>
          <t>GitLab CI / Jenkins</t>
        </is>
      </c>
    </row>
    <row r="23">
      <c r="A23" s="30" t="inlineStr">
        <is>
          <t>Identity</t>
        </is>
      </c>
      <c r="B23" s="41" t="inlineStr">
        <is>
          <t>Cognito / IAM</t>
        </is>
      </c>
      <c r="C23" s="41" t="inlineStr">
        <is>
          <t>Identity Platform</t>
        </is>
      </c>
      <c r="D23" s="41" t="inlineStr">
        <is>
          <t>Entra ID</t>
        </is>
      </c>
      <c r="E23" s="41" t="inlineStr">
        <is>
          <t>Keycloak</t>
        </is>
      </c>
    </row>
    <row r="24">
      <c r="A24" s="30" t="inlineStr">
        <is>
          <t>Serverless</t>
        </is>
      </c>
      <c r="B24" s="41" t="inlineStr">
        <is>
          <t>Lambda</t>
        </is>
      </c>
      <c r="C24" s="41" t="inlineStr">
        <is>
          <t>Cloud Functions</t>
        </is>
      </c>
      <c r="D24" s="41" t="inlineStr">
        <is>
          <t>Azure Functions</t>
        </is>
      </c>
      <c r="E24" s="41" t="inlineStr">
        <is>
          <t>OpenFaaS</t>
        </is>
      </c>
    </row>
    <row r="25">
      <c r="A25" s="30" t="inlineStr">
        <is>
          <t>VPS Providers</t>
        </is>
      </c>
      <c r="B25" s="41" t="inlineStr">
        <is>
          <t>Lightsail</t>
        </is>
      </c>
      <c r="C25" s="41" t="inlineStr">
        <is>
          <t>Compute Engine</t>
        </is>
      </c>
      <c r="D25" s="41" t="inlineStr">
        <is>
          <t>Azure VM</t>
        </is>
      </c>
      <c r="E25" s="41" t="inlineStr">
        <is>
          <t>DigitalOcean / Linode / Hetzner</t>
        </is>
      </c>
    </row>
    <row r="27">
      <c r="A27" s="42" t="inlineStr">
        <is>
          <t>Interview tip: default to AWS -- widest catalog, most interviewers know it. Switch to GCP only if they hint at BigQuery/Spanner, or Azure for enterprise/AD-heavy shops.</t>
        </is>
      </c>
    </row>
  </sheetData>
  <mergeCells count="2">
    <mergeCell ref="A1:E1"/>
    <mergeCell ref="A27:E27"/>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20" customWidth="1" min="1" max="1"/>
    <col width="16" customWidth="1" min="2" max="2"/>
    <col width="8" customWidth="1" min="3" max="3"/>
    <col width="8" customWidth="1" min="4" max="4"/>
    <col width="10" customWidth="1" min="5" max="5"/>
    <col width="18" customWidth="1" min="6" max="6"/>
    <col width="18" customWidth="1" min="7" max="7"/>
    <col width="22" customWidth="1" min="8" max="8"/>
  </cols>
  <sheetData>
    <row r="1" ht="26" customHeight="1">
      <c r="A1" s="1" t="inlineStr">
        <is>
          <t>15 - Cloud Infra Picker (Instance Cheat Sheet)</t>
        </is>
      </c>
    </row>
    <row r="3" ht="20" customHeight="1">
      <c r="A3" s="29" t="inlineStr">
        <is>
          <t>Workload</t>
        </is>
      </c>
      <c r="B3" s="29" t="inlineStr">
        <is>
          <t>AWS Instance</t>
        </is>
      </c>
      <c r="C3" s="29" t="inlineStr">
        <is>
          <t>vCPU</t>
        </is>
      </c>
      <c r="D3" s="29" t="inlineStr">
        <is>
          <t>RAM(GB)</t>
        </is>
      </c>
      <c r="E3" s="29" t="inlineStr">
        <is>
          <t>$/hr</t>
        </is>
      </c>
      <c r="F3" s="29" t="inlineStr">
        <is>
          <t>GCP Eq</t>
        </is>
      </c>
      <c r="G3" s="29" t="inlineStr">
        <is>
          <t>Azure Eq</t>
        </is>
      </c>
      <c r="H3" s="29" t="inlineStr">
        <is>
          <t>When to use</t>
        </is>
      </c>
    </row>
    <row r="4">
      <c r="A4" s="30" t="inlineStr">
        <is>
          <t>Kafka Broker</t>
        </is>
      </c>
      <c r="B4" s="30" t="inlineStr">
        <is>
          <t>m6i.2xlarge</t>
        </is>
      </c>
      <c r="C4" s="30" t="n">
        <v>8</v>
      </c>
      <c r="D4" s="30" t="n">
        <v>32</v>
      </c>
      <c r="E4" s="43" t="n">
        <v>0.384</v>
      </c>
      <c r="F4" s="41" t="inlineStr">
        <is>
          <t>n2-standard-8</t>
        </is>
      </c>
      <c r="G4" s="41" t="inlineStr">
        <is>
          <t>Standard_D8s_v5</t>
        </is>
      </c>
      <c r="H4" s="30" t="inlineStr">
        <is>
          <t>Steady throughput</t>
        </is>
      </c>
    </row>
    <row r="5">
      <c r="A5" s="30" t="inlineStr">
        <is>
          <t>Kafka Broker XL</t>
        </is>
      </c>
      <c r="B5" s="30" t="inlineStr">
        <is>
          <t>m6i.4xlarge</t>
        </is>
      </c>
      <c r="C5" s="30" t="n">
        <v>16</v>
      </c>
      <c r="D5" s="30" t="n">
        <v>64</v>
      </c>
      <c r="E5" s="43" t="n">
        <v>0.768</v>
      </c>
      <c r="F5" s="41" t="inlineStr">
        <is>
          <t>n2-standard-16</t>
        </is>
      </c>
      <c r="G5" s="41" t="inlineStr">
        <is>
          <t>Standard_D16s_v5</t>
        </is>
      </c>
      <c r="H5" s="30" t="inlineStr">
        <is>
          <t>High throughput</t>
        </is>
      </c>
    </row>
    <row r="6">
      <c r="A6" s="30" t="inlineStr">
        <is>
          <t>API Gateway</t>
        </is>
      </c>
      <c r="B6" s="30" t="inlineStr">
        <is>
          <t>c6i.xlarge</t>
        </is>
      </c>
      <c r="C6" s="30" t="n">
        <v>4</v>
      </c>
      <c r="D6" s="30" t="n">
        <v>8</v>
      </c>
      <c r="E6" s="43" t="n">
        <v>0.17</v>
      </c>
      <c r="F6" s="41" t="inlineStr">
        <is>
          <t>c2-standard-4</t>
        </is>
      </c>
      <c r="G6" s="41" t="inlineStr">
        <is>
          <t>Standard_F4s_v2</t>
        </is>
      </c>
      <c r="H6" s="30" t="inlineStr">
        <is>
          <t>CPU-bound</t>
        </is>
      </c>
    </row>
    <row r="7">
      <c r="A7" s="30" t="inlineStr">
        <is>
          <t>App Service</t>
        </is>
      </c>
      <c r="B7" s="30" t="inlineStr">
        <is>
          <t>c6i.xlarge</t>
        </is>
      </c>
      <c r="C7" s="30" t="n">
        <v>4</v>
      </c>
      <c r="D7" s="30" t="n">
        <v>8</v>
      </c>
      <c r="E7" s="43" t="n">
        <v>0.17</v>
      </c>
      <c r="F7" s="41" t="inlineStr">
        <is>
          <t>c2-standard-4</t>
        </is>
      </c>
      <c r="G7" s="41" t="inlineStr">
        <is>
          <t>Standard_F4s_v2</t>
        </is>
      </c>
      <c r="H7" s="30" t="inlineStr">
        <is>
          <t>Compute-optimized</t>
        </is>
      </c>
    </row>
    <row r="8">
      <c r="A8" s="30" t="inlineStr">
        <is>
          <t>App Service (mem)</t>
        </is>
      </c>
      <c r="B8" s="30" t="inlineStr">
        <is>
          <t>r6i.xlarge</t>
        </is>
      </c>
      <c r="C8" s="30" t="n">
        <v>4</v>
      </c>
      <c r="D8" s="30" t="n">
        <v>32</v>
      </c>
      <c r="E8" s="43" t="n">
        <v>0.252</v>
      </c>
      <c r="F8" s="41" t="inlineStr">
        <is>
          <t>n2-highmem-4</t>
        </is>
      </c>
      <c r="G8" s="41" t="inlineStr">
        <is>
          <t>Standard_E4s_v5</t>
        </is>
      </c>
      <c r="H8" s="30" t="inlineStr">
        <is>
          <t>Cache-heavy</t>
        </is>
      </c>
    </row>
    <row r="9">
      <c r="A9" s="30" t="inlineStr">
        <is>
          <t>Postgres Primary</t>
        </is>
      </c>
      <c r="B9" s="30" t="inlineStr">
        <is>
          <t>r6i.2xlarge</t>
        </is>
      </c>
      <c r="C9" s="30" t="n">
        <v>8</v>
      </c>
      <c r="D9" s="30" t="n">
        <v>64</v>
      </c>
      <c r="E9" s="43" t="n">
        <v>0.504</v>
      </c>
      <c r="F9" s="41" t="inlineStr">
        <is>
          <t>n2-highmem-8</t>
        </is>
      </c>
      <c r="G9" s="41" t="inlineStr">
        <is>
          <t>Standard_E8s_v5</t>
        </is>
      </c>
      <c r="H9" s="30" t="inlineStr">
        <is>
          <t>Memory-optimized</t>
        </is>
      </c>
    </row>
    <row r="10">
      <c r="A10" s="30" t="inlineStr">
        <is>
          <t>Postgres Replica</t>
        </is>
      </c>
      <c r="B10" s="30" t="inlineStr">
        <is>
          <t>r6i.xlarge</t>
        </is>
      </c>
      <c r="C10" s="30" t="n">
        <v>4</v>
      </c>
      <c r="D10" s="30" t="n">
        <v>32</v>
      </c>
      <c r="E10" s="43" t="n">
        <v>0.252</v>
      </c>
      <c r="F10" s="41" t="inlineStr">
        <is>
          <t>n2-highmem-4</t>
        </is>
      </c>
      <c r="G10" s="41" t="inlineStr">
        <is>
          <t>Standard_E4s_v5</t>
        </is>
      </c>
      <c r="H10" s="30" t="inlineStr">
        <is>
          <t>Read scale</t>
        </is>
      </c>
    </row>
    <row r="11">
      <c r="A11" s="30" t="inlineStr">
        <is>
          <t>Redis</t>
        </is>
      </c>
      <c r="B11" s="30" t="inlineStr">
        <is>
          <t>cache.r6g.xlarge</t>
        </is>
      </c>
      <c r="C11" s="30" t="n">
        <v>4</v>
      </c>
      <c r="D11" s="30" t="n">
        <v>26</v>
      </c>
      <c r="E11" s="43" t="n">
        <v>0.226</v>
      </c>
      <c r="F11" s="41" t="inlineStr">
        <is>
          <t>Memorystore Std</t>
        </is>
      </c>
      <c r="G11" s="41" t="inlineStr">
        <is>
          <t>Azure Cache P2</t>
        </is>
      </c>
      <c r="H11" s="30" t="inlineStr">
        <is>
          <t>Managed preferred</t>
        </is>
      </c>
    </row>
    <row r="12">
      <c r="A12" s="30" t="inlineStr">
        <is>
          <t>OpenSearch</t>
        </is>
      </c>
      <c r="B12" s="30" t="inlineStr">
        <is>
          <t>r6g.2xlarge</t>
        </is>
      </c>
      <c r="C12" s="30" t="n">
        <v>8</v>
      </c>
      <c r="D12" s="30" t="n">
        <v>64</v>
      </c>
      <c r="E12" s="43" t="n">
        <v>0.476</v>
      </c>
      <c r="F12" s="41" t="inlineStr">
        <is>
          <t>n2-highmem-8</t>
        </is>
      </c>
      <c r="G12" s="41" t="inlineStr">
        <is>
          <t>Standard_E8s_v5</t>
        </is>
      </c>
      <c r="H12" s="30" t="inlineStr">
        <is>
          <t>Search</t>
        </is>
      </c>
    </row>
    <row r="13">
      <c r="A13" s="30" t="inlineStr">
        <is>
          <t>Bastion</t>
        </is>
      </c>
      <c r="B13" s="30" t="inlineStr">
        <is>
          <t>t3.micro</t>
        </is>
      </c>
      <c r="C13" s="30" t="n">
        <v>2</v>
      </c>
      <c r="D13" s="30" t="n">
        <v>1</v>
      </c>
      <c r="E13" s="43" t="n">
        <v>0.0104</v>
      </c>
      <c r="F13" s="41" t="inlineStr">
        <is>
          <t>e2-micro</t>
        </is>
      </c>
      <c r="G13" s="41" t="inlineStr">
        <is>
          <t>Standard_B1s</t>
        </is>
      </c>
      <c r="H13" s="30" t="inlineStr">
        <is>
          <t>SSH only</t>
        </is>
      </c>
    </row>
    <row r="15">
      <c r="A15" s="3" t="inlineStr">
        <is>
          <t>Auto-scale groups -- App: min=6 max=60, CPU&gt;70% for 3min. Gateway: min=3 max=30, RPS&gt;2400/instance. Kafka: manual scale only (stateful, handle with care).</t>
        </is>
      </c>
    </row>
  </sheetData>
  <mergeCells count="2">
    <mergeCell ref="A15:H15"/>
    <mergeCell ref="A1:H1"/>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F31"/>
  <sheetViews>
    <sheetView workbookViewId="0">
      <selection activeCell="A1" sqref="A1"/>
    </sheetView>
  </sheetViews>
  <sheetFormatPr baseColWidth="8" defaultRowHeight="15"/>
  <cols>
    <col width="30" customWidth="1" min="1" max="1"/>
    <col width="10" customWidth="1" min="2" max="2"/>
    <col width="10" customWidth="1" min="3" max="3"/>
    <col width="10" customWidth="1" min="4" max="4"/>
    <col width="16" customWidth="1" min="5" max="5"/>
    <col width="16" customWidth="1" min="6" max="6"/>
  </cols>
  <sheetData>
    <row r="1" ht="26" customHeight="1">
      <c r="A1" s="1" t="inlineStr">
        <is>
          <t>16 - Cost Estimator (Monthly / Annual, USD)</t>
        </is>
      </c>
    </row>
    <row r="3" ht="20" customHeight="1">
      <c r="A3" s="29" t="inlineStr">
        <is>
          <t>Resource</t>
        </is>
      </c>
      <c r="B3" s="29" t="inlineStr">
        <is>
          <t>Count</t>
        </is>
      </c>
      <c r="C3" s="29" t="inlineStr">
        <is>
          <t>$/hr</t>
        </is>
      </c>
      <c r="D3" s="29" t="inlineStr">
        <is>
          <t>Hours</t>
        </is>
      </c>
      <c r="E3" s="29" t="inlineStr">
        <is>
          <t>Monthly</t>
        </is>
      </c>
      <c r="F3" s="29" t="inlineStr">
        <is>
          <t>Annual</t>
        </is>
      </c>
    </row>
    <row r="4">
      <c r="A4" s="30" t="inlineStr">
        <is>
          <t>Kafka Brokers</t>
        </is>
      </c>
      <c r="B4" s="30">
        <f>Kafka_Brokers</f>
        <v/>
      </c>
      <c r="C4" s="43">
        <f>Cost_Broker_hr</f>
        <v/>
      </c>
      <c r="D4" s="30">
        <f>Cost_Hours_Month</f>
        <v/>
      </c>
      <c r="E4" s="44">
        <f>B4*C4*D4</f>
        <v/>
      </c>
      <c r="F4" s="45">
        <f>E4*12</f>
        <v/>
      </c>
    </row>
    <row r="5">
      <c r="A5" s="30" t="inlineStr">
        <is>
          <t>KRaft Controllers</t>
        </is>
      </c>
      <c r="B5" s="30" t="inlineStr">
        <is>
          <t>3</t>
        </is>
      </c>
      <c r="C5" s="43" t="inlineStr">
        <is>
          <t>0.096</t>
        </is>
      </c>
      <c r="D5" s="30">
        <f>Cost_Hours_Month</f>
        <v/>
      </c>
      <c r="E5" s="44">
        <f>B5*C5*D5</f>
        <v/>
      </c>
      <c r="F5" s="45">
        <f>E5*12</f>
        <v/>
      </c>
    </row>
    <row r="6">
      <c r="A6" s="30" t="inlineStr">
        <is>
          <t>App Servers (all services)</t>
        </is>
      </c>
      <c r="B6" s="30">
        <f>Total_App_Instances</f>
        <v/>
      </c>
      <c r="C6" s="43">
        <f>Cost_App_hr</f>
        <v/>
      </c>
      <c r="D6" s="30">
        <f>Cost_Hours_Month</f>
        <v/>
      </c>
      <c r="E6" s="44">
        <f>B6*C6*D6</f>
        <v/>
      </c>
      <c r="F6" s="45">
        <f>E6*12</f>
        <v/>
      </c>
    </row>
    <row r="7">
      <c r="A7" s="30" t="inlineStr">
        <is>
          <t>API Gateway</t>
        </is>
      </c>
      <c r="B7" s="30">
        <f>Gateway_Instances_Sized</f>
        <v/>
      </c>
      <c r="C7" s="43">
        <f>Cost_Gateway_hr</f>
        <v/>
      </c>
      <c r="D7" s="30">
        <f>Cost_Hours_Month</f>
        <v/>
      </c>
      <c r="E7" s="44">
        <f>B7*C7*D7</f>
        <v/>
      </c>
      <c r="F7" s="45">
        <f>E7*12</f>
        <v/>
      </c>
    </row>
    <row r="8">
      <c r="A8" s="30" t="inlineStr">
        <is>
          <t>NLB / ALB</t>
        </is>
      </c>
      <c r="B8" s="30">
        <f>LB_Instances</f>
        <v/>
      </c>
      <c r="C8" s="43">
        <f>Cost_NLB_hr</f>
        <v/>
      </c>
      <c r="D8" s="30">
        <f>Cost_Hours_Month</f>
        <v/>
      </c>
      <c r="E8" s="44">
        <f>B8*C8*D8</f>
        <v/>
      </c>
      <c r="F8" s="45">
        <f>E8*12</f>
        <v/>
      </c>
    </row>
    <row r="9">
      <c r="A9" s="30" t="inlineStr">
        <is>
          <t>DB Primary</t>
        </is>
      </c>
      <c r="B9" s="30" t="inlineStr">
        <is>
          <t>1</t>
        </is>
      </c>
      <c r="C9" s="43">
        <f>Cost_DB_hr</f>
        <v/>
      </c>
      <c r="D9" s="30">
        <f>Cost_Hours_Month</f>
        <v/>
      </c>
      <c r="E9" s="44">
        <f>B9*C9*D9</f>
        <v/>
      </c>
      <c r="F9" s="45">
        <f>E9*12</f>
        <v/>
      </c>
    </row>
    <row r="10">
      <c r="A10" s="30" t="inlineStr">
        <is>
          <t>DB Read Replicas</t>
        </is>
      </c>
      <c r="B10" s="30">
        <f>DB_Read_Replicas</f>
        <v/>
      </c>
      <c r="C10" s="43">
        <f>Cost_DB_hr</f>
        <v/>
      </c>
      <c r="D10" s="30">
        <f>Cost_Hours_Month</f>
        <v/>
      </c>
      <c r="E10" s="44">
        <f>B10*C10*D10</f>
        <v/>
      </c>
      <c r="F10" s="45">
        <f>E10*12</f>
        <v/>
      </c>
    </row>
    <row r="11">
      <c r="A11" s="30" t="inlineStr">
        <is>
          <t>Redis Cluster</t>
        </is>
      </c>
      <c r="B11" s="30">
        <f>REDIS_SHARDS</f>
        <v/>
      </c>
      <c r="C11" s="43">
        <f>Cost_Redis_hr</f>
        <v/>
      </c>
      <c r="D11" s="30">
        <f>Cost_Hours_Month</f>
        <v/>
      </c>
      <c r="E11" s="44">
        <f>B11*C11*D11</f>
        <v/>
      </c>
      <c r="F11" s="45">
        <f>E11*12</f>
        <v/>
      </c>
    </row>
    <row r="12">
      <c r="A12" s="30" t="inlineStr">
        <is>
          <t>NAT Gateway</t>
        </is>
      </c>
      <c r="B12" s="30" t="inlineStr">
        <is>
          <t>2</t>
        </is>
      </c>
      <c r="C12" s="43" t="inlineStr">
        <is>
          <t>0.045</t>
        </is>
      </c>
      <c r="D12" s="30">
        <f>Cost_Hours_Month</f>
        <v/>
      </c>
      <c r="E12" s="44">
        <f>B12*C12*D12</f>
        <v/>
      </c>
      <c r="F12" s="45">
        <f>E12*12</f>
        <v/>
      </c>
    </row>
    <row r="13">
      <c r="A13" s="30" t="inlineStr">
        <is>
          <t>S3 (Backups + Assets)</t>
        </is>
      </c>
      <c r="B13" s="30" t="inlineStr">
        <is>
          <t>n/a</t>
        </is>
      </c>
      <c r="C13" s="30" t="inlineStr">
        <is>
          <t>n/a</t>
        </is>
      </c>
      <c r="D13" s="30" t="inlineStr">
        <is>
          <t>n/a</t>
        </is>
      </c>
      <c r="E13" s="44">
        <f>DB_Storage_GB/1024*Cost_S3_Per_TB</f>
        <v/>
      </c>
      <c r="F13" s="45">
        <f>E13*12</f>
        <v/>
      </c>
    </row>
    <row r="14">
      <c r="A14" s="30" t="inlineStr">
        <is>
          <t>CloudFront / CDN Egress</t>
        </is>
      </c>
      <c r="B14" s="30" t="inlineStr">
        <is>
          <t>n/a</t>
        </is>
      </c>
      <c r="C14" s="30" t="inlineStr">
        <is>
          <t>n/a</t>
        </is>
      </c>
      <c r="D14" s="30" t="inlineStr">
        <is>
          <t>n/a</t>
        </is>
      </c>
      <c r="E14" s="44">
        <f>Monthly_Egress_TB*1024*Cost_CDN_Per_GB</f>
        <v/>
      </c>
      <c r="F14" s="45">
        <f>E14*12</f>
        <v/>
      </c>
    </row>
    <row r="15">
      <c r="A15" s="30" t="inlineStr">
        <is>
          <t>Monitoring (CloudWatch/Datadog)</t>
        </is>
      </c>
      <c r="B15" s="30" t="inlineStr">
        <is>
          <t>n/a</t>
        </is>
      </c>
      <c r="C15" s="30" t="inlineStr">
        <is>
          <t>n/a</t>
        </is>
      </c>
      <c r="D15" s="30" t="inlineStr">
        <is>
          <t>n/a</t>
        </is>
      </c>
      <c r="E15" s="44">
        <f>500</f>
        <v/>
      </c>
      <c r="F15" s="45">
        <f>E15*12</f>
        <v/>
      </c>
    </row>
    <row r="16">
      <c r="A16" s="30" t="inlineStr">
        <is>
          <t>Secrets Manager</t>
        </is>
      </c>
      <c r="B16" s="30" t="inlineStr">
        <is>
          <t>n/a</t>
        </is>
      </c>
      <c r="C16" s="30" t="inlineStr">
        <is>
          <t>n/a</t>
        </is>
      </c>
      <c r="D16" s="30" t="inlineStr">
        <is>
          <t>n/a</t>
        </is>
      </c>
      <c r="E16" s="44">
        <f>20*0.4</f>
        <v/>
      </c>
      <c r="F16" s="45">
        <f>E16*12</f>
        <v/>
      </c>
    </row>
    <row r="17">
      <c r="A17" s="30" t="inlineStr">
        <is>
          <t>Route53 (hosted zone + queries)</t>
        </is>
      </c>
      <c r="B17" s="30" t="inlineStr">
        <is>
          <t>n/a</t>
        </is>
      </c>
      <c r="C17" s="30" t="inlineStr">
        <is>
          <t>n/a</t>
        </is>
      </c>
      <c r="D17" s="30" t="inlineStr">
        <is>
          <t>n/a</t>
        </is>
      </c>
      <c r="E17" s="44">
        <f>5*0.5+50</f>
        <v/>
      </c>
      <c r="F17" s="45">
        <f>E17*12</f>
        <v/>
      </c>
    </row>
    <row r="18">
      <c r="A18" s="30" t="inlineStr">
        <is>
          <t>Load Testing (occasional, spot)</t>
        </is>
      </c>
      <c r="B18" s="30" t="inlineStr">
        <is>
          <t>n/a</t>
        </is>
      </c>
      <c r="C18" s="30" t="inlineStr">
        <is>
          <t>n/a</t>
        </is>
      </c>
      <c r="D18" s="30" t="inlineStr">
        <is>
          <t>n/a</t>
        </is>
      </c>
      <c r="E18" s="44">
        <f>200</f>
        <v/>
      </c>
      <c r="F18" s="45">
        <f>E18*12</f>
        <v/>
      </c>
    </row>
    <row r="20">
      <c r="A20" s="7" t="inlineStr">
        <is>
          <t>GRAND TOTAL</t>
        </is>
      </c>
      <c r="B20" s="32" t="n"/>
      <c r="C20" s="32" t="n"/>
      <c r="D20" s="32" t="n"/>
      <c r="E20" s="46">
        <f>SUM(E4:E18)</f>
        <v/>
      </c>
      <c r="F20" s="46">
        <f>SUM(F4:F18)</f>
        <v/>
      </c>
    </row>
    <row r="21" ht="20" customHeight="1">
      <c r="A21" s="18" t="inlineStr">
        <is>
          <t>Step</t>
        </is>
      </c>
      <c r="B21" s="18" t="inlineStr">
        <is>
          <t>Formula (human-readable)</t>
        </is>
      </c>
      <c r="C21" s="18" t="inlineStr">
        <is>
          <t>Live Calculation</t>
        </is>
      </c>
      <c r="D21" s="18" t="inlineStr">
        <is>
          <t>Result</t>
        </is>
      </c>
      <c r="E21" s="18" t="inlineStr">
        <is>
          <t>Derivation Notes</t>
        </is>
      </c>
    </row>
    <row r="22">
      <c r="A22" s="19" t="inlineStr">
        <is>
          <t>Cost per 1,000 DAU / month</t>
        </is>
      </c>
      <c r="B22" s="20" t="inlineStr">
        <is>
          <t>Total Monthly / (DAU/1000)</t>
        </is>
      </c>
      <c r="C22" s="21">
        <f>Total_Monthly_Cost/(DAU/1000)</f>
        <v/>
      </c>
      <c r="D22" s="22">
        <f>C22</f>
        <v/>
      </c>
      <c r="E22" s="23" t="inlineStr">
        <is>
          <t>Efficiency metric interviewers love</t>
        </is>
      </c>
    </row>
    <row r="24" ht="18" customHeight="1">
      <c r="A24" s="2" t="inlineStr">
        <is>
          <t>COST OPTIMIZATION TIPS (info)</t>
        </is>
      </c>
    </row>
    <row r="25">
      <c r="A25" s="37" t="inlineStr">
        <is>
          <t>- Reserved Instances (1yr): 30-40% savings on steady-state workloads</t>
        </is>
      </c>
    </row>
    <row r="26">
      <c r="A26" s="37" t="inlineStr">
        <is>
          <t>- Savings Plans: 20-30% flexible commitment discount</t>
        </is>
      </c>
    </row>
    <row r="27">
      <c r="A27" s="37" t="inlineStr">
        <is>
          <t>- Spot for stateless app servers: 60-70% savings (with PodDisruptionBudget)</t>
        </is>
      </c>
    </row>
    <row r="28">
      <c r="A28" s="37" t="inlineStr">
        <is>
          <t>- S3 Intelligent-Tiering: ~30% savings on cold backup data</t>
        </is>
      </c>
    </row>
    <row r="29">
      <c r="A29" s="37" t="inlineStr">
        <is>
          <t>- Right-size everything after 30 days of real observability data</t>
        </is>
      </c>
    </row>
    <row r="31" ht="60" customHeight="1">
      <c r="A31" s="26" t="inlineStr">
        <is>
          <t>🎤 INTERVIEW TALK TRACK:  Our monthly infra lands in the low five figures, dominated by compute -- around 60% -- and data transfer at roughly 20%. We optimize with Reserved Instances for the steady-state baseline, Spot for burstable app servers, and aggressive CDN caching to keep egress down.</t>
        </is>
      </c>
    </row>
  </sheetData>
  <mergeCells count="8">
    <mergeCell ref="A28:F28"/>
    <mergeCell ref="A24:E24"/>
    <mergeCell ref="A1:F1"/>
    <mergeCell ref="A27:F27"/>
    <mergeCell ref="A31:F31"/>
    <mergeCell ref="A26:F26"/>
    <mergeCell ref="A29:F29"/>
    <mergeCell ref="A25:F25"/>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drawing xmlns:r="http://schemas.openxmlformats.org/officeDocument/2006/relationships" r:id="rId1"/>
</worksheet>
</file>

<file path=xl/worksheets/sheet18.xml><?xml version="1.0" encoding="utf-8"?>
<worksheet xmlns="http://schemas.openxmlformats.org/spreadsheetml/2006/main">
  <sheetPr>
    <outlinePr summaryBelow="1" summaryRight="1"/>
    <pageSetUpPr fitToPage="1"/>
  </sheetPr>
  <dimension ref="A1:D35"/>
  <sheetViews>
    <sheetView workbookViewId="0">
      <selection activeCell="A1" sqref="A1"/>
    </sheetView>
  </sheetViews>
  <sheetFormatPr baseColWidth="8" defaultRowHeight="15"/>
  <cols>
    <col width="16" customWidth="1" min="1" max="1"/>
    <col width="30" customWidth="1" min="2" max="2"/>
    <col width="16" customWidth="1" min="3" max="3"/>
    <col width="12" customWidth="1" min="4" max="4"/>
  </cols>
  <sheetData>
    <row r="1" ht="26" customHeight="1">
      <c r="A1" s="1" t="inlineStr">
        <is>
          <t>17 - Final Summary Cheatsheet (One-Page Whiteboard Script)</t>
        </is>
      </c>
    </row>
    <row r="3" ht="20" customHeight="1">
      <c r="A3" s="29" t="inlineStr">
        <is>
          <t>Layer</t>
        </is>
      </c>
      <c r="B3" s="29" t="inlineStr">
        <is>
          <t>Component</t>
        </is>
      </c>
      <c r="C3" s="29" t="inlineStr">
        <is>
          <t>Value</t>
        </is>
      </c>
      <c r="D3" s="29" t="inlineStr">
        <is>
          <t>Unit</t>
        </is>
      </c>
    </row>
    <row r="4">
      <c r="A4" s="30" t="inlineStr">
        <is>
          <t>Users</t>
        </is>
      </c>
      <c r="B4" s="30" t="inlineStr">
        <is>
          <t>MAU</t>
        </is>
      </c>
      <c r="C4" s="47">
        <f>MAU</f>
        <v/>
      </c>
      <c r="D4" s="30" t="inlineStr">
        <is>
          <t>users</t>
        </is>
      </c>
    </row>
    <row r="5">
      <c r="A5" s="30" t="inlineStr">
        <is>
          <t>Users</t>
        </is>
      </c>
      <c r="B5" s="30" t="inlineStr">
        <is>
          <t>DAU</t>
        </is>
      </c>
      <c r="C5" s="47">
        <f>DAU</f>
        <v/>
      </c>
      <c r="D5" s="30" t="inlineStr">
        <is>
          <t>users</t>
        </is>
      </c>
    </row>
    <row r="6">
      <c r="A6" s="30" t="inlineStr">
        <is>
          <t>Users</t>
        </is>
      </c>
      <c r="B6" s="30" t="inlineStr">
        <is>
          <t>Peak Concurrent</t>
        </is>
      </c>
      <c r="C6" s="47">
        <f>PCU</f>
        <v/>
      </c>
      <c r="D6" s="30" t="inlineStr">
        <is>
          <t>users</t>
        </is>
      </c>
    </row>
    <row r="7">
      <c r="A7" s="30" t="inlineStr">
        <is>
          <t>Traffic</t>
        </is>
      </c>
      <c r="B7" s="30" t="inlineStr">
        <is>
          <t>Peak API RPS</t>
        </is>
      </c>
      <c r="C7" s="47">
        <f>Peak_RPS</f>
        <v/>
      </c>
      <c r="D7" s="30" t="inlineStr">
        <is>
          <t>req/s</t>
        </is>
      </c>
    </row>
    <row r="8">
      <c r="A8" s="30" t="inlineStr">
        <is>
          <t>Frontend</t>
        </is>
      </c>
      <c r="B8" s="30" t="inlineStr">
        <is>
          <t>CDN PoPs Used</t>
        </is>
      </c>
      <c r="C8" s="47">
        <f>CDN_PoPs_Global</f>
        <v/>
      </c>
      <c r="D8" s="30" t="inlineStr">
        <is>
          <t>PoPs</t>
        </is>
      </c>
    </row>
    <row r="9">
      <c r="A9" s="30" t="inlineStr">
        <is>
          <t>Frontend</t>
        </is>
      </c>
      <c r="B9" s="30" t="inlineStr">
        <is>
          <t>Origin Traffic</t>
        </is>
      </c>
      <c r="C9" s="47">
        <f>'03_Frontend_CDN'!C6</f>
        <v/>
      </c>
      <c r="D9" s="30" t="inlineStr">
        <is>
          <t>GB/day</t>
        </is>
      </c>
    </row>
    <row r="10">
      <c r="A10" s="30" t="inlineStr">
        <is>
          <t>Edge</t>
        </is>
      </c>
      <c r="B10" s="30" t="inlineStr">
        <is>
          <t>WAF Rules</t>
        </is>
      </c>
      <c r="C10" s="47">
        <f>WAF_Rules</f>
        <v/>
      </c>
      <c r="D10" s="30" t="inlineStr">
        <is>
          <t>rules</t>
        </is>
      </c>
    </row>
    <row r="11">
      <c r="A11" s="30" t="inlineStr">
        <is>
          <t>Edge</t>
        </is>
      </c>
      <c r="B11" s="30" t="inlineStr">
        <is>
          <t>NLB Instances</t>
        </is>
      </c>
      <c r="C11" s="47">
        <f>LB_Instances</f>
        <v/>
      </c>
      <c r="D11" s="30" t="inlineStr">
        <is>
          <t>nodes</t>
        </is>
      </c>
    </row>
    <row r="12">
      <c r="A12" s="30" t="inlineStr">
        <is>
          <t>Gateway</t>
        </is>
      </c>
      <c r="B12" s="30" t="inlineStr">
        <is>
          <t>API Gateway Pods</t>
        </is>
      </c>
      <c r="C12" s="47">
        <f>Gateway_Instances_Sized</f>
        <v/>
      </c>
      <c r="D12" s="30" t="inlineStr">
        <is>
          <t>pods</t>
        </is>
      </c>
    </row>
    <row r="13">
      <c r="A13" s="30" t="inlineStr">
        <is>
          <t>Gateway</t>
        </is>
      </c>
      <c r="B13" s="30" t="inlineStr">
        <is>
          <t>Gateway Latency</t>
        </is>
      </c>
      <c r="C13" s="47">
        <f>Gateway_Latency_ms</f>
        <v/>
      </c>
      <c r="D13" s="30" t="inlineStr">
        <is>
          <t>ms</t>
        </is>
      </c>
    </row>
    <row r="14">
      <c r="A14" s="30" t="inlineStr">
        <is>
          <t>Gateway</t>
        </is>
      </c>
      <c r="B14" s="30" t="inlineStr">
        <is>
          <t>Rate Limit (user)</t>
        </is>
      </c>
      <c r="C14" s="47">
        <f>Rate_Limit_User_RPM</f>
        <v/>
      </c>
      <c r="D14" s="30" t="inlineStr">
        <is>
          <t>req/min</t>
        </is>
      </c>
    </row>
    <row r="15">
      <c r="A15" s="30" t="inlineStr">
        <is>
          <t>Backend</t>
        </is>
      </c>
      <c r="B15" s="30" t="inlineStr">
        <is>
          <t>Total App Pods</t>
        </is>
      </c>
      <c r="C15" s="47">
        <f>Total_App_Instances</f>
        <v/>
      </c>
      <c r="D15" s="30" t="inlineStr">
        <is>
          <t>pods</t>
        </is>
      </c>
    </row>
    <row r="16">
      <c r="A16" s="30" t="inlineStr">
        <is>
          <t>Backend</t>
        </is>
      </c>
      <c r="B16" s="30" t="inlineStr">
        <is>
          <t>Total vCPU</t>
        </is>
      </c>
      <c r="C16" s="47">
        <f>Total_vCPU</f>
        <v/>
      </c>
      <c r="D16" s="30" t="inlineStr">
        <is>
          <t>cores</t>
        </is>
      </c>
    </row>
    <row r="17">
      <c r="A17" s="30" t="inlineStr">
        <is>
          <t>Backend</t>
        </is>
      </c>
      <c r="B17" s="30" t="inlineStr">
        <is>
          <t>Total RAM</t>
        </is>
      </c>
      <c r="C17" s="47">
        <f>Total_RAM_GB</f>
        <v/>
      </c>
      <c r="D17" s="30" t="inlineStr">
        <is>
          <t>GB</t>
        </is>
      </c>
    </row>
    <row r="18">
      <c r="A18" s="30" t="inlineStr">
        <is>
          <t>Latency</t>
        </is>
      </c>
      <c r="B18" s="30" t="inlineStr">
        <is>
          <t>P95</t>
        </is>
      </c>
      <c r="C18" s="47">
        <f>P95_Latency_ms</f>
        <v/>
      </c>
      <c r="D18" s="30" t="inlineStr">
        <is>
          <t>ms</t>
        </is>
      </c>
    </row>
    <row r="19">
      <c r="A19" s="30" t="inlineStr">
        <is>
          <t>Kafka</t>
        </is>
      </c>
      <c r="B19" s="30" t="inlineStr">
        <is>
          <t>Brokers</t>
        </is>
      </c>
      <c r="C19" s="47">
        <f>Kafka_Brokers</f>
        <v/>
      </c>
      <c r="D19" s="30" t="inlineStr">
        <is>
          <t>nodes</t>
        </is>
      </c>
    </row>
    <row r="20">
      <c r="A20" s="30" t="inlineStr">
        <is>
          <t>Kafka</t>
        </is>
      </c>
      <c r="B20" s="30" t="inlineStr">
        <is>
          <t>Partitions (adjusted)</t>
        </is>
      </c>
      <c r="C20" s="47">
        <f>Kafka_Partitions</f>
        <v/>
      </c>
      <c r="D20" s="30" t="inlineStr">
        <is>
          <t>count</t>
        </is>
      </c>
    </row>
    <row r="21">
      <c r="A21" s="30" t="inlineStr">
        <is>
          <t>Kafka</t>
        </is>
      </c>
      <c r="B21" s="30" t="inlineStr">
        <is>
          <t>Throughput</t>
        </is>
      </c>
      <c r="C21" s="47">
        <f>Kafka_Internal_MBps</f>
        <v/>
      </c>
      <c r="D21" s="30" t="inlineStr">
        <is>
          <t>MB/s</t>
        </is>
      </c>
    </row>
    <row r="22">
      <c r="A22" s="30" t="inlineStr">
        <is>
          <t>Database</t>
        </is>
      </c>
      <c r="B22" s="30" t="inlineStr">
        <is>
          <t>DB QPS (post-cache)</t>
        </is>
      </c>
      <c r="C22" s="47">
        <f>Actual_DB_QPS</f>
        <v/>
      </c>
      <c r="D22" s="30" t="inlineStr">
        <is>
          <t>qps</t>
        </is>
      </c>
    </row>
    <row r="23">
      <c r="A23" s="30" t="inlineStr">
        <is>
          <t>Database</t>
        </is>
      </c>
      <c r="B23" s="30" t="inlineStr">
        <is>
          <t>DB IOPS Required</t>
        </is>
      </c>
      <c r="C23" s="47">
        <f>DB_Recommended_IOPS</f>
        <v/>
      </c>
      <c r="D23" s="30" t="inlineStr">
        <is>
          <t>iops</t>
        </is>
      </c>
    </row>
    <row r="24">
      <c r="A24" s="30" t="inlineStr">
        <is>
          <t>Database</t>
        </is>
      </c>
      <c r="B24" s="30" t="inlineStr">
        <is>
          <t>Read Replicas</t>
        </is>
      </c>
      <c r="C24" s="47">
        <f>DB_Read_Replicas</f>
        <v/>
      </c>
      <c r="D24" s="30" t="inlineStr">
        <is>
          <t>nodes</t>
        </is>
      </c>
    </row>
    <row r="25">
      <c r="A25" s="30" t="inlineStr">
        <is>
          <t>Cache</t>
        </is>
      </c>
      <c r="B25" s="30" t="inlineStr">
        <is>
          <t>Redis Shards</t>
        </is>
      </c>
      <c r="C25" s="47">
        <f>REDIS_SHARDS</f>
        <v/>
      </c>
      <c r="D25" s="30" t="inlineStr">
        <is>
          <t>shards</t>
        </is>
      </c>
    </row>
    <row r="26">
      <c r="A26" s="30" t="inlineStr">
        <is>
          <t>Cache</t>
        </is>
      </c>
      <c r="B26" s="30" t="inlineStr">
        <is>
          <t>Redis Cluster Size</t>
        </is>
      </c>
      <c r="C26" s="47">
        <f>Redis_Cluster_GB</f>
        <v/>
      </c>
      <c r="D26" s="30" t="inlineStr">
        <is>
          <t>GB</t>
        </is>
      </c>
    </row>
    <row r="27">
      <c r="A27" s="30" t="inlineStr">
        <is>
          <t>DLQ</t>
        </is>
      </c>
      <c r="B27" s="30" t="inlineStr">
        <is>
          <t>Retry Tiers</t>
        </is>
      </c>
      <c r="C27" s="47">
        <f>Max_Retries</f>
        <v/>
      </c>
      <c r="D27" s="30" t="inlineStr">
        <is>
          <t>tiers</t>
        </is>
      </c>
    </row>
    <row r="28">
      <c r="A28" s="30" t="inlineStr">
        <is>
          <t>DLQ</t>
        </is>
      </c>
      <c r="B28" s="30" t="inlineStr">
        <is>
          <t>Msgs -&gt; DLQ / day</t>
        </is>
      </c>
      <c r="C28" s="47">
        <f>DLQ_Msgs_Per_Day</f>
        <v/>
      </c>
      <c r="D28" s="30" t="inlineStr">
        <is>
          <t>msgs</t>
        </is>
      </c>
    </row>
    <row r="29">
      <c r="A29" s="30" t="inlineStr">
        <is>
          <t>Spike</t>
        </is>
      </c>
      <c r="B29" s="30" t="inlineStr">
        <is>
          <t>Load Shed Threshold</t>
        </is>
      </c>
      <c r="C29" s="47">
        <f>Load_Shed_Threshold_Pct</f>
        <v/>
      </c>
      <c r="D29" s="30" t="inlineStr">
        <is>
          <t>%</t>
        </is>
      </c>
    </row>
    <row r="30">
      <c r="A30" s="30" t="inlineStr">
        <is>
          <t>Observability</t>
        </is>
      </c>
      <c r="B30" s="30" t="inlineStr">
        <is>
          <t>Log Retention</t>
        </is>
      </c>
      <c r="C30" s="47">
        <f>Log_Retention_Days</f>
        <v/>
      </c>
      <c r="D30" s="30" t="inlineStr">
        <is>
          <t>days</t>
        </is>
      </c>
    </row>
    <row r="31">
      <c r="A31" s="30" t="inlineStr">
        <is>
          <t>Cost</t>
        </is>
      </c>
      <c r="B31" s="30" t="inlineStr">
        <is>
          <t>Monthly Infra</t>
        </is>
      </c>
      <c r="C31" s="47">
        <f>Total_Monthly_Cost</f>
        <v/>
      </c>
      <c r="D31" s="30" t="inlineStr">
        <is>
          <t>USD</t>
        </is>
      </c>
    </row>
    <row r="32">
      <c r="A32" s="30" t="inlineStr">
        <is>
          <t>Cost</t>
        </is>
      </c>
      <c r="B32" s="30" t="inlineStr">
        <is>
          <t>Annual Infra</t>
        </is>
      </c>
      <c r="C32" s="47">
        <f>Total_Annual_Cost</f>
        <v/>
      </c>
      <c r="D32" s="30" t="inlineStr">
        <is>
          <t>USD</t>
        </is>
      </c>
    </row>
    <row r="34" ht="18" customHeight="1">
      <c r="A34" s="2" t="inlineStr">
        <is>
          <t>WHITEBOARD SCRIPT (memorize this)</t>
        </is>
      </c>
    </row>
    <row r="35" ht="90" customHeight="1">
      <c r="A35" s="3" t="inlineStr">
        <is>
          <t>10M MAU -&gt; 2M DAU -&gt; 400k concurrent -&gt; ~3.3k raw RPS -&gt; ~7k RPS with a 2x buffer. CDN absorbs 98% of static traffic. Gateway: ~9 pods, ~3.5ms overhead. Backend: ~20+ pods across 5 services plus gateway. Kafka: 6 brokers, 24 partitions, ~7MB/s producer throughput. Postgres: 64GB RAM, ~1,050 QPS after a 95% cache hit rate. Redis: 3 shards, single-digit GB. DLQ with a 3-tier exponential retry. Multi-AZ end to end. Total monthly infra in the low five figures.</t>
        </is>
      </c>
    </row>
  </sheetData>
  <mergeCells count="3">
    <mergeCell ref="A1:D1"/>
    <mergeCell ref="A35:D35"/>
    <mergeCell ref="A34:D34"/>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E13"/>
  <sheetViews>
    <sheetView workbookViewId="0">
      <selection activeCell="A1" sqref="A1"/>
    </sheetView>
  </sheetViews>
  <sheetFormatPr baseColWidth="8" defaultRowHeight="15"/>
  <cols>
    <col width="34" customWidth="1" min="1" max="1"/>
    <col width="46" customWidth="1" min="2" max="2"/>
    <col width="30" customWidth="1" min="3" max="3"/>
    <col width="26" customWidth="1" min="4" max="4"/>
    <col width="30" customWidth="1" min="5" max="5"/>
  </cols>
  <sheetData>
    <row r="1" ht="26" customHeight="1">
      <c r="A1" s="1" t="inlineStr">
        <is>
          <t>18 - Interview Practice (10 Scenarios)</t>
        </is>
      </c>
    </row>
    <row r="3" ht="20" customHeight="1">
      <c r="A3" s="29" t="inlineStr">
        <is>
          <t>Question</t>
        </is>
      </c>
      <c r="B3" s="29" t="inlineStr">
        <is>
          <t>Expected Answer (gist)</t>
        </is>
      </c>
      <c r="C3" s="29" t="inlineStr">
        <is>
          <t>Key Formulas / Sheets Used</t>
        </is>
      </c>
      <c r="D3" s="29" t="inlineStr">
        <is>
          <t>Red Flags to Avoid</t>
        </is>
      </c>
      <c r="E3" s="29" t="inlineStr">
        <is>
          <t>Bonus Points</t>
        </is>
      </c>
    </row>
    <row r="4" ht="60" customHeight="1">
      <c r="A4" s="48" t="inlineStr">
        <is>
          <t>Design an e-commerce checkout flow at 10M DAU</t>
        </is>
      </c>
      <c r="B4" s="5" t="inlineStr">
        <is>
          <t>Walk client-&gt;CDN-&gt;gateway-&gt;order svc-&gt;payment svc(idempotent)-&gt;Kafka outbox-&gt;inventory-&gt;confirmation. Anchor everything on Peak_RPS.</t>
        </is>
      </c>
      <c r="C4" s="5" t="inlineStr">
        <is>
          <t>02_User_Metrics, 06_Backend_Services, 07_Network_Latency</t>
        </is>
      </c>
      <c r="D4" s="5" t="inlineStr">
        <is>
          <t>Jumping straight to microservices without stating scale assumptions first</t>
        </is>
      </c>
      <c r="E4" s="5" t="inlineStr">
        <is>
          <t>Saga pattern for cross-service consistency; outbox pattern for exactly-once publish</t>
        </is>
      </c>
    </row>
    <row r="5" ht="60" customHeight="1">
      <c r="A5" s="48" t="inlineStr">
        <is>
          <t>Add real-time order tracking</t>
        </is>
      </c>
      <c r="B5" s="5" t="inlineStr">
        <is>
          <t>WebSocket for live tracking, SSE for price updates; size concurrent connections off PCU.</t>
        </is>
      </c>
      <c r="C5" s="5" t="inlineStr">
        <is>
          <t>04_API_Gateway Section E (WS/SSE sizing)</t>
        </is>
      </c>
      <c r="D5" s="5" t="inlineStr">
        <is>
          <t>Polling instead of push at this scale</t>
        </is>
      </c>
      <c r="E5" s="5" t="inlineStr">
        <is>
          <t>Fan-out via Redis pub/sub or a dedicated notification service</t>
        </is>
      </c>
    </row>
    <row r="6" ht="60" customHeight="1">
      <c r="A6" s="48" t="inlineStr">
        <is>
          <t>Handle Black Friday 10x traffic</t>
        </is>
      </c>
      <c r="B6" s="5" t="inlineStr">
        <is>
          <t>Pre-scale via HPA, priority-based load shedding, DDoS layers at the edge.</t>
        </is>
      </c>
      <c r="C6" s="5" t="inlineStr">
        <is>
          <t>12_Traffic_Spikes_DDoS</t>
        </is>
      </c>
      <c r="D6" s="5" t="inlineStr">
        <is>
          <t>Relying only on reactive autoscaling with no pre-warm</t>
        </is>
      </c>
      <c r="E6" s="5" t="inlineStr">
        <is>
          <t>Chaos-day rehearsal before the actual event</t>
        </is>
      </c>
    </row>
    <row r="7" ht="60" customHeight="1">
      <c r="A7" s="48" t="inlineStr">
        <is>
          <t>Prevent double-charging on payment retries</t>
        </is>
      </c>
      <c r="B7" s="5" t="inlineStr">
        <is>
          <t>Idempotency keys on payment writes, idempotent producer + transactions on payment.transactions topic.</t>
        </is>
      </c>
      <c r="C7" s="5" t="inlineStr">
        <is>
          <t>08_Kafka_Design Section E, 09_Database_Design</t>
        </is>
      </c>
      <c r="D7" s="5" t="inlineStr">
        <is>
          <t>Relying on client-side retry dedup only</t>
        </is>
      </c>
      <c r="E7" s="5" t="inlineStr">
        <is>
          <t>Outbox table + CDC instead of dual-write</t>
        </is>
      </c>
    </row>
    <row r="8" ht="60" customHeight="1">
      <c r="A8" s="48" t="inlineStr">
        <is>
          <t>Diagnose a Kafka consumer lag of 100k</t>
        </is>
      </c>
      <c r="B8" s="5" t="inlineStr">
        <is>
          <t>Check partition count vs consumer count, slow downstream calls, GC pauses, rebalance storms.</t>
        </is>
      </c>
      <c r="C8" s="5" t="inlineStr">
        <is>
          <t>08_Kafka_Design, 13_Observability SLO table</t>
        </is>
      </c>
      <c r="D8" s="5" t="inlineStr">
        <is>
          <t>Blaming Kafka itself before checking consumer-side logic</t>
        </is>
      </c>
      <c r="E8" s="5" t="inlineStr">
        <is>
          <t>CooperativeStickyAssignor to avoid rebalance storms</t>
        </is>
      </c>
    </row>
    <row r="9" ht="60" customHeight="1">
      <c r="A9" s="48" t="inlineStr">
        <is>
          <t>Design DLQ + replay for a bad deploy</t>
        </is>
      </c>
      <c r="B9" s="5" t="inlineStr">
        <is>
          <t>Tiered retry -&gt; DLQ, schema preserves offset/partition, batch reprocessing with manual approval.</t>
        </is>
      </c>
      <c r="C9" s="5" t="inlineStr">
        <is>
          <t>11_DLQ_Error_Handling</t>
        </is>
      </c>
      <c r="D9" s="5" t="inlineStr">
        <is>
          <t>No poison-pill detection -&gt; infinite retry loop</t>
        </is>
      </c>
      <c r="E9" s="5" t="inlineStr">
        <is>
          <t>Shadow-replay against a canary before full reprocess</t>
        </is>
      </c>
    </row>
    <row r="10" ht="60" customHeight="1">
      <c r="A10" s="48" t="inlineStr">
        <is>
          <t>Add multi-region active-active</t>
        </is>
      </c>
      <c r="B10" s="5" t="inlineStr">
        <is>
          <t>Regional Kafka clusters + MirrorMaker2 or geo-replicated cache; conflict resolution via CRDTs or last-write-wins with vector clocks.</t>
        </is>
      </c>
      <c r="C10" s="5" t="inlineStr">
        <is>
          <t>08_Kafka_Design, 10_Cache_Redis</t>
        </is>
      </c>
      <c r="D10" s="5" t="inlineStr">
        <is>
          <t>Assuming synchronous cross-region replication is 'free'</t>
        </is>
      </c>
      <c r="E10" s="5" t="inlineStr">
        <is>
          <t>CRDTs for cart state; regional read affinity</t>
        </is>
      </c>
    </row>
    <row r="11" ht="60" customHeight="1">
      <c r="A11" s="48" t="inlineStr">
        <is>
          <t>Reduce P95 latency from 500ms to 150ms</t>
        </is>
      </c>
      <c r="B11" s="5" t="inlineStr">
        <is>
          <t>Walk the hop-by-hop budget, find the biggest single contributor (usually uncached DB path), fix cache hit rate or add read replica.</t>
        </is>
      </c>
      <c r="C11" s="5" t="inlineStr">
        <is>
          <t>07_Network_Latency</t>
        </is>
      </c>
      <c r="D11" s="5" t="inlineStr">
        <is>
          <t>Guessing without walking the latency budget first</t>
        </is>
      </c>
      <c r="E11" s="5" t="inlineStr">
        <is>
          <t>Tail-latency-aware load balancing (choice of 2)</t>
        </is>
      </c>
    </row>
    <row r="12" ht="60" customHeight="1">
      <c r="A12" s="48" t="inlineStr">
        <is>
          <t>Cut infra cost by 40% without SLA impact</t>
        </is>
      </c>
      <c r="B12" s="5" t="inlineStr">
        <is>
          <t>Reserved Instances on steady baseline, Spot for burstable app tier, right-size after observability data, S3 tiering.</t>
        </is>
      </c>
      <c r="C12" s="5" t="inlineStr">
        <is>
          <t>16_Cost_Estimator</t>
        </is>
      </c>
      <c r="D12" s="5" t="inlineStr">
        <is>
          <t>Cutting redundancy (replicas, multi-AZ) to save cost</t>
        </is>
      </c>
      <c r="E12" s="5" t="inlineStr">
        <is>
          <t>Cost-per-1000-DAU as the north-star efficiency metric</t>
        </is>
      </c>
    </row>
    <row r="13" ht="60" customHeight="1">
      <c r="A13" s="48" t="inlineStr">
        <is>
          <t>Migrate from ZooKeeper to KRaft with zero downtime</t>
        </is>
      </c>
      <c r="B13" s="5" t="inlineStr">
        <is>
          <t>Dual-write metadata during migration, roll controllers first, then brokers, validate quorum before cutover.</t>
        </is>
      </c>
      <c r="C13" s="5" t="inlineStr">
        <is>
          <t>08_Kafka_Design Section D</t>
        </is>
      </c>
      <c r="D13" s="5" t="inlineStr">
        <is>
          <t>Big-bang cutover with no rollback plan</t>
        </is>
      </c>
      <c r="E13" s="5" t="inlineStr">
        <is>
          <t>KIP-866 migration mode awareness</t>
        </is>
      </c>
    </row>
  </sheetData>
  <mergeCells count="1">
    <mergeCell ref="A1:E1"/>
  </mergeCells>
  <printOptions horizontalCentered="1"/>
  <pageMargins left="0.75" right="0.75" top="1" bottom="1" header="0.5" footer="0.5"/>
  <pageSetup orientation="landscape" fitToHeight="0" fitToWidth="1"/>
  <headerFooter>
    <oddHeader>&amp;C&amp;B&amp;12System Design Master Calculator</oddHeader>
    <oddFooter>&amp;C&amp;P of &amp;N</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cols>
    <col width="16" customWidth="1" min="1" max="1"/>
    <col width="12" customWidth="1" min="2" max="2"/>
    <col width="20" customWidth="1" min="3" max="3"/>
    <col width="16" customWidth="1" min="4" max="4"/>
  </cols>
  <sheetData>
    <row r="1" ht="20" customHeight="1">
      <c r="A1" s="29" t="inlineStr">
        <is>
          <t>Scenario</t>
        </is>
      </c>
      <c r="B1" s="29" t="inlineStr">
        <is>
          <t>DAU_PCT</t>
        </is>
      </c>
      <c r="C1" s="29" t="inlineStr">
        <is>
          <t>PEAK_CONCURRENT_PCT</t>
        </is>
      </c>
      <c r="D1" s="29" t="inlineStr">
        <is>
          <t>Spike_Multiplier</t>
        </is>
      </c>
    </row>
    <row r="2">
      <c r="A2" t="inlineStr">
        <is>
          <t>Normal</t>
        </is>
      </c>
      <c r="B2" t="n">
        <v>20</v>
      </c>
      <c r="C2" t="n">
        <v>20</v>
      </c>
      <c r="D2" t="n">
        <v>1</v>
      </c>
    </row>
    <row r="3">
      <c r="A3" t="inlineStr">
        <is>
          <t>Flash Sale</t>
        </is>
      </c>
      <c r="B3" t="n">
        <v>30</v>
      </c>
      <c r="C3" t="n">
        <v>30</v>
      </c>
      <c r="D3" t="n">
        <v>5</v>
      </c>
    </row>
    <row r="4">
      <c r="A4" t="inlineStr">
        <is>
          <t>Black Friday</t>
        </is>
      </c>
      <c r="B4" t="n">
        <v>50</v>
      </c>
      <c r="C4" t="n">
        <v>50</v>
      </c>
      <c r="D4" t="n">
        <v>10</v>
      </c>
    </row>
    <row r="5">
      <c r="A5" t="inlineStr">
        <is>
          <t>Cyber Monday</t>
        </is>
      </c>
      <c r="B5" t="n">
        <v>60</v>
      </c>
      <c r="C5" t="n">
        <v>60</v>
      </c>
      <c r="D5" t="n">
        <v>15</v>
      </c>
    </row>
    <row r="6">
      <c r="A6" t="inlineStr">
        <is>
          <t>DDoS</t>
        </is>
      </c>
      <c r="B6" t="n">
        <v>20</v>
      </c>
      <c r="C6" t="n">
        <v>100</v>
      </c>
      <c r="D6" t="n">
        <v>100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2026-09-10T13:01:59Z</dcterms:created>
  <dcterms:modified xsi:type="dcterms:W3CDTF">2026-09-10T13:01:59Z</dcterms:modified>
</cp:coreProperties>
</file>